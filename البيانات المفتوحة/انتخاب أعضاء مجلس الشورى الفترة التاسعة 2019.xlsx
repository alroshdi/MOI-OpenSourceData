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hinai\Desktop\دائرة الشؤون الانتخابية\البيانات المفتوحة\الشورى\"/>
    </mc:Choice>
  </mc:AlternateContent>
  <bookViews>
    <workbookView xWindow="360" yWindow="75" windowWidth="14355" windowHeight="6210" activeTab="1"/>
  </bookViews>
  <sheets>
    <sheet name="2109-009-Shura" sheetId="5" r:id="rId1"/>
    <sheet name="Metadata" sheetId="6" r:id="rId2"/>
  </sheets>
  <calcPr calcId="162913"/>
</workbook>
</file>

<file path=xl/calcChain.xml><?xml version="1.0" encoding="utf-8"?>
<calcChain xmlns="http://schemas.openxmlformats.org/spreadsheetml/2006/main">
  <c r="D64" i="5" l="1"/>
  <c r="E64" i="5"/>
  <c r="F64" i="5"/>
  <c r="G64" i="5"/>
  <c r="H64" i="5"/>
  <c r="I64" i="5"/>
  <c r="J64" i="5"/>
  <c r="K64" i="5"/>
  <c r="L64" i="5"/>
  <c r="M64" i="5"/>
  <c r="N64" i="5"/>
  <c r="C64" i="5"/>
</calcChain>
</file>

<file path=xl/sharedStrings.xml><?xml version="1.0" encoding="utf-8"?>
<sst xmlns="http://schemas.openxmlformats.org/spreadsheetml/2006/main" count="175" uniqueCount="116">
  <si>
    <t>محافظة مسقط</t>
  </si>
  <si>
    <t>مسـقط</t>
  </si>
  <si>
    <t>السـيب</t>
  </si>
  <si>
    <t>مـطرح</t>
  </si>
  <si>
    <t>بوشـر</t>
  </si>
  <si>
    <t>العامـرات</t>
  </si>
  <si>
    <t>قريات</t>
  </si>
  <si>
    <t>محافظة ظفار</t>
  </si>
  <si>
    <t>صلالة</t>
  </si>
  <si>
    <t>ثمريت</t>
  </si>
  <si>
    <t>طاقة</t>
  </si>
  <si>
    <t>مرباط</t>
  </si>
  <si>
    <t>سدح</t>
  </si>
  <si>
    <t>رخيوت</t>
  </si>
  <si>
    <t>ضلكوت</t>
  </si>
  <si>
    <t>مقشن</t>
  </si>
  <si>
    <t>شليم وجزر الحلانيات</t>
  </si>
  <si>
    <t>المزيونة</t>
  </si>
  <si>
    <t>محافظة مسندم</t>
  </si>
  <si>
    <t>خصب</t>
  </si>
  <si>
    <t>بخاء</t>
  </si>
  <si>
    <t>دبا</t>
  </si>
  <si>
    <t>مدحاء</t>
  </si>
  <si>
    <t>محافظة البريمي</t>
  </si>
  <si>
    <t>البريمي</t>
  </si>
  <si>
    <t>محضة</t>
  </si>
  <si>
    <t>السنينة</t>
  </si>
  <si>
    <t>نزوى</t>
  </si>
  <si>
    <t>سمائل</t>
  </si>
  <si>
    <t>بهلاء</t>
  </si>
  <si>
    <t>أدم</t>
  </si>
  <si>
    <t>الحمراء</t>
  </si>
  <si>
    <t>منح</t>
  </si>
  <si>
    <t>إزكي</t>
  </si>
  <si>
    <t>بدبد</t>
  </si>
  <si>
    <t>صحار</t>
  </si>
  <si>
    <t>شناص</t>
  </si>
  <si>
    <t>لوى</t>
  </si>
  <si>
    <t>صحم</t>
  </si>
  <si>
    <t>الخابورة</t>
  </si>
  <si>
    <t>السويق</t>
  </si>
  <si>
    <t>الرستاق</t>
  </si>
  <si>
    <t>نخل</t>
  </si>
  <si>
    <t>وادي المعاول</t>
  </si>
  <si>
    <t>العوابي</t>
  </si>
  <si>
    <t>المصنعة</t>
  </si>
  <si>
    <t>بركاء</t>
  </si>
  <si>
    <t>صور</t>
  </si>
  <si>
    <t>الكامل والوافي</t>
  </si>
  <si>
    <t>جعلان بني بو علي</t>
  </si>
  <si>
    <t>جعلان بني بو حسن</t>
  </si>
  <si>
    <t>مصيرة</t>
  </si>
  <si>
    <t>محافظة شمال الشرقية</t>
  </si>
  <si>
    <t>إبراء</t>
  </si>
  <si>
    <t>بدية</t>
  </si>
  <si>
    <t>القابل</t>
  </si>
  <si>
    <t>المضيبي</t>
  </si>
  <si>
    <t>دماء والطائيين</t>
  </si>
  <si>
    <t>وادي بني خالد</t>
  </si>
  <si>
    <t>محافظة الظاهرة</t>
  </si>
  <si>
    <t>عبري</t>
  </si>
  <si>
    <t>ينقل</t>
  </si>
  <si>
    <t>ضنك</t>
  </si>
  <si>
    <t>محافظة الوسطى</t>
  </si>
  <si>
    <t>هيماء</t>
  </si>
  <si>
    <t>محوت</t>
  </si>
  <si>
    <t>الدقم</t>
  </si>
  <si>
    <t>الجازر</t>
  </si>
  <si>
    <t>المحافظة</t>
  </si>
  <si>
    <t>الولاية</t>
  </si>
  <si>
    <t>الناخبين المسجلين</t>
  </si>
  <si>
    <t>عدد الذكور</t>
  </si>
  <si>
    <t>عدد الاناث</t>
  </si>
  <si>
    <t>مجموع الناخبين</t>
  </si>
  <si>
    <t>الناخبين المصوتين</t>
  </si>
  <si>
    <t>الناخبين المسجلين حسب الاعمار</t>
  </si>
  <si>
    <t>أصغر من 30 سنة</t>
  </si>
  <si>
    <t>من 30 إلى 39 سنة</t>
  </si>
  <si>
    <t>من 40 إلى 49 سنة</t>
  </si>
  <si>
    <t>من 50 إلى 59 سنة</t>
  </si>
  <si>
    <t>من 60 إلى 69 سنة</t>
  </si>
  <si>
    <t>أكبر من 70 سنة</t>
  </si>
  <si>
    <t>محافظة الداخلية</t>
  </si>
  <si>
    <t>محافظة شمال الباطنة</t>
  </si>
  <si>
    <t>محافظة جنوب الباطنة</t>
  </si>
  <si>
    <t>محافظة جنوب الشرقية</t>
  </si>
  <si>
    <t>الإجمالي</t>
  </si>
  <si>
    <t>مجموع المصوتين</t>
  </si>
  <si>
    <t>الناخبين المصوتين حسب الاعمار</t>
  </si>
  <si>
    <t>dataSetNameAr</t>
  </si>
  <si>
    <t xml:space="preserve">بيانات الناخبين </t>
  </si>
  <si>
    <t>datasetDescriptionAr</t>
  </si>
  <si>
    <t>categoryAr</t>
  </si>
  <si>
    <t>الانتخابات</t>
  </si>
  <si>
    <t>KeywordsAr</t>
  </si>
  <si>
    <t>PublicationDate</t>
  </si>
  <si>
    <t>TouchpointNameAr</t>
  </si>
  <si>
    <t>دائرة الشؤون الانتخابية</t>
  </si>
  <si>
    <t>Email</t>
  </si>
  <si>
    <t>info@moi.gov.om</t>
  </si>
  <si>
    <t>DataReferencePeriod</t>
  </si>
  <si>
    <t>OverallIndicatorsAr</t>
  </si>
  <si>
    <t>LanguageAr</t>
  </si>
  <si>
    <t xml:space="preserve">العربية </t>
  </si>
  <si>
    <t>RotatingAr</t>
  </si>
  <si>
    <t>موسمي</t>
  </si>
  <si>
    <t>DevelopmentDate</t>
  </si>
  <si>
    <t>ContactNumber</t>
  </si>
  <si>
    <t>File format</t>
  </si>
  <si>
    <t xml:space="preserve">الأكسل </t>
  </si>
  <si>
    <t>GeographicCoverageofDataAr</t>
  </si>
  <si>
    <t xml:space="preserve">سلطنة عمان </t>
  </si>
  <si>
    <t>sourceAr</t>
  </si>
  <si>
    <t>وزارة الداخلية</t>
  </si>
  <si>
    <t>بيانات الناخبين في انتخاب أعضاء مجلس الشورى للفترة التاسعة</t>
  </si>
  <si>
    <t xml:space="preserve">الانتخاب - الشورى - الناخبين - الفترة التاسعة - المصوتين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</si>
</sst>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 wrapText="1" readingOrder="2"/>
    </xf>
    <xf numFmtId="0" fontId="4" fillId="4" borderId="6" xfId="1" applyFont="1" applyFill="1" applyBorder="1" applyAlignment="1">
      <alignment horizontal="right" vertical="center" wrapText="1" readingOrder="2"/>
    </xf>
    <xf numFmtId="0" fontId="4" fillId="5" borderId="7" xfId="1" applyFont="1" applyFill="1" applyBorder="1" applyAlignment="1">
      <alignment horizontal="center" vertical="center" wrapText="1" readingOrder="2"/>
    </xf>
    <xf numFmtId="0" fontId="5" fillId="5" borderId="6" xfId="1" applyFont="1" applyFill="1" applyBorder="1" applyAlignment="1">
      <alignment horizontal="right" vertical="center" wrapText="1" readingOrder="2"/>
    </xf>
    <xf numFmtId="0" fontId="4" fillId="0" borderId="7" xfId="1" applyFont="1" applyBorder="1" applyAlignment="1">
      <alignment horizontal="center" vertical="center" wrapText="1" readingOrder="2"/>
    </xf>
    <xf numFmtId="0" fontId="5" fillId="0" borderId="5" xfId="1" applyFont="1" applyBorder="1" applyAlignment="1">
      <alignment horizontal="right" vertical="center" wrapText="1" readingOrder="2"/>
    </xf>
    <xf numFmtId="14" fontId="5" fillId="0" borderId="5" xfId="1" applyNumberFormat="1" applyFont="1" applyBorder="1" applyAlignment="1">
      <alignment vertical="center" wrapText="1" readingOrder="2"/>
    </xf>
    <xf numFmtId="0" fontId="5" fillId="5" borderId="5" xfId="1" applyFont="1" applyFill="1" applyBorder="1" applyAlignment="1">
      <alignment horizontal="right" vertical="center" wrapText="1" readingOrder="2"/>
    </xf>
    <xf numFmtId="0" fontId="6" fillId="0" borderId="5" xfId="2" applyBorder="1" applyAlignment="1">
      <alignment horizontal="right" vertical="center" wrapText="1" readingOrder="2"/>
    </xf>
    <xf numFmtId="0" fontId="5" fillId="5" borderId="7" xfId="1" applyFont="1" applyFill="1" applyBorder="1" applyAlignment="1">
      <alignment horizontal="center" vertical="center" wrapText="1" readingOrder="2"/>
    </xf>
    <xf numFmtId="0" fontId="4" fillId="0" borderId="8" xfId="1" applyFont="1" applyBorder="1" applyAlignment="1">
      <alignment horizontal="center" vertical="center" wrapText="1" readingOrder="2"/>
    </xf>
    <xf numFmtId="0" fontId="5" fillId="0" borderId="6" xfId="1" applyFont="1" applyBorder="1" applyAlignment="1">
      <alignment horizontal="right" vertical="center" wrapText="1" readingOrder="2"/>
    </xf>
    <xf numFmtId="0" fontId="4" fillId="5" borderId="8" xfId="1" applyFont="1" applyFill="1" applyBorder="1" applyAlignment="1">
      <alignment horizontal="center" vertical="center" wrapText="1" readingOrder="2"/>
    </xf>
    <xf numFmtId="0" fontId="5" fillId="5" borderId="6" xfId="1" applyFont="1" applyFill="1" applyBorder="1" applyAlignment="1">
      <alignment vertical="center" wrapText="1" readingOrder="2"/>
    </xf>
    <xf numFmtId="0" fontId="4" fillId="0" borderId="8" xfId="1" applyFont="1" applyBorder="1" applyAlignment="1">
      <alignment horizontal="justify" vertical="center" wrapText="1" readingOrder="2"/>
    </xf>
    <xf numFmtId="0" fontId="5" fillId="5" borderId="5" xfId="1" applyFont="1" applyFill="1" applyBorder="1" applyAlignment="1">
      <alignment vertical="center" wrapText="1" readingOrder="2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ارتباط تشعبي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moi.gov.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4"/>
  <sheetViews>
    <sheetView rightToLeft="1" workbookViewId="0">
      <pane xSplit="2" ySplit="2" topLeftCell="C41" activePane="bottomRight" state="frozen"/>
      <selection pane="topRight" activeCell="C1" sqref="C1"/>
      <selection pane="bottomLeft" activeCell="A3" sqref="A3"/>
      <selection pane="bottomRight" activeCell="E47" sqref="E47"/>
    </sheetView>
  </sheetViews>
  <sheetFormatPr defaultColWidth="9" defaultRowHeight="15" x14ac:dyDescent="0.25"/>
  <cols>
    <col min="1" max="1" width="26.140625" style="3" bestFit="1" customWidth="1"/>
    <col min="2" max="2" width="24" style="3" bestFit="1" customWidth="1"/>
    <col min="3" max="3" width="12.7109375" style="3" bestFit="1" customWidth="1"/>
    <col min="4" max="4" width="12.42578125" style="3" bestFit="1" customWidth="1"/>
    <col min="5" max="5" width="18.140625" style="3" bestFit="1" customWidth="1"/>
    <col min="6" max="6" width="19.7109375" style="3" bestFit="1" customWidth="1"/>
    <col min="7" max="10" width="20.7109375" style="3" bestFit="1" customWidth="1"/>
    <col min="11" max="11" width="18" style="3" bestFit="1" customWidth="1"/>
    <col min="12" max="12" width="12.7109375" style="3" bestFit="1" customWidth="1"/>
    <col min="13" max="13" width="12.42578125" style="3" bestFit="1" customWidth="1"/>
    <col min="14" max="14" width="19.5703125" style="3" bestFit="1" customWidth="1"/>
    <col min="15" max="15" width="19.7109375" style="3" bestFit="1" customWidth="1"/>
    <col min="16" max="19" width="20.7109375" style="3" bestFit="1" customWidth="1"/>
    <col min="20" max="20" width="18" style="3" bestFit="1" customWidth="1"/>
    <col min="21" max="16384" width="9" style="3"/>
  </cols>
  <sheetData>
    <row r="1" spans="1:20" ht="21" x14ac:dyDescent="0.25">
      <c r="A1" s="23" t="s">
        <v>68</v>
      </c>
      <c r="B1" s="23" t="s">
        <v>69</v>
      </c>
      <c r="C1" s="23" t="s">
        <v>70</v>
      </c>
      <c r="D1" s="23"/>
      <c r="E1" s="23"/>
      <c r="F1" s="23" t="s">
        <v>75</v>
      </c>
      <c r="G1" s="23"/>
      <c r="H1" s="23"/>
      <c r="I1" s="23"/>
      <c r="J1" s="23"/>
      <c r="K1" s="23"/>
      <c r="L1" s="26" t="s">
        <v>74</v>
      </c>
      <c r="M1" s="27"/>
      <c r="N1" s="28"/>
      <c r="O1" s="23" t="s">
        <v>88</v>
      </c>
      <c r="P1" s="23"/>
      <c r="Q1" s="23"/>
      <c r="R1" s="23"/>
      <c r="S1" s="23"/>
      <c r="T1" s="23"/>
    </row>
    <row r="2" spans="1:20" ht="21" x14ac:dyDescent="0.25">
      <c r="A2" s="23"/>
      <c r="B2" s="23"/>
      <c r="C2" s="1" t="s">
        <v>71</v>
      </c>
      <c r="D2" s="1" t="s">
        <v>72</v>
      </c>
      <c r="E2" s="5" t="s">
        <v>73</v>
      </c>
      <c r="F2" s="1" t="s">
        <v>76</v>
      </c>
      <c r="G2" s="1" t="s">
        <v>77</v>
      </c>
      <c r="H2" s="1" t="s">
        <v>78</v>
      </c>
      <c r="I2" s="1" t="s">
        <v>79</v>
      </c>
      <c r="J2" s="1" t="s">
        <v>80</v>
      </c>
      <c r="K2" s="1" t="s">
        <v>81</v>
      </c>
      <c r="L2" s="1" t="s">
        <v>71</v>
      </c>
      <c r="M2" s="1" t="s">
        <v>72</v>
      </c>
      <c r="N2" s="5" t="s">
        <v>87</v>
      </c>
      <c r="O2" s="5" t="s">
        <v>76</v>
      </c>
      <c r="P2" s="5" t="s">
        <v>77</v>
      </c>
      <c r="Q2" s="5" t="s">
        <v>78</v>
      </c>
      <c r="R2" s="5" t="s">
        <v>79</v>
      </c>
      <c r="S2" s="5" t="s">
        <v>80</v>
      </c>
      <c r="T2" s="5" t="s">
        <v>81</v>
      </c>
    </row>
    <row r="3" spans="1:20" ht="21" x14ac:dyDescent="0.25">
      <c r="A3" s="1" t="s">
        <v>0</v>
      </c>
      <c r="B3" s="1" t="s">
        <v>1</v>
      </c>
      <c r="C3" s="2">
        <v>6258</v>
      </c>
      <c r="D3" s="2">
        <v>6506</v>
      </c>
      <c r="E3" s="6">
        <v>12764</v>
      </c>
      <c r="F3" s="2">
        <v>1017</v>
      </c>
      <c r="G3" s="2">
        <v>4337</v>
      </c>
      <c r="H3" s="2">
        <v>3744</v>
      </c>
      <c r="I3" s="2">
        <v>1973</v>
      </c>
      <c r="J3" s="2">
        <v>1059</v>
      </c>
      <c r="K3" s="2">
        <v>634</v>
      </c>
      <c r="L3" s="2">
        <v>2222</v>
      </c>
      <c r="M3" s="2">
        <v>2090</v>
      </c>
      <c r="N3" s="6">
        <v>4312</v>
      </c>
      <c r="O3" s="2">
        <v>672</v>
      </c>
      <c r="P3" s="2">
        <v>1394</v>
      </c>
      <c r="Q3" s="2">
        <v>1123</v>
      </c>
      <c r="R3" s="2">
        <v>632</v>
      </c>
      <c r="S3" s="2">
        <v>353</v>
      </c>
      <c r="T3" s="2">
        <v>134</v>
      </c>
    </row>
    <row r="4" spans="1:20" ht="21" x14ac:dyDescent="0.25">
      <c r="A4" s="1" t="s">
        <v>0</v>
      </c>
      <c r="B4" s="1" t="s">
        <v>3</v>
      </c>
      <c r="C4" s="2">
        <v>10095</v>
      </c>
      <c r="D4" s="2">
        <v>7315</v>
      </c>
      <c r="E4" s="6">
        <v>17410</v>
      </c>
      <c r="F4" s="2">
        <v>1095</v>
      </c>
      <c r="G4" s="2">
        <v>5847</v>
      </c>
      <c r="H4" s="2">
        <v>5021</v>
      </c>
      <c r="I4" s="2">
        <v>2887</v>
      </c>
      <c r="J4" s="2">
        <v>1665</v>
      </c>
      <c r="K4" s="2">
        <v>895</v>
      </c>
      <c r="L4" s="2">
        <v>3675</v>
      </c>
      <c r="M4" s="2">
        <v>2171</v>
      </c>
      <c r="N4" s="6">
        <v>5846</v>
      </c>
      <c r="O4" s="2">
        <v>713</v>
      </c>
      <c r="P4" s="2">
        <v>1937</v>
      </c>
      <c r="Q4" s="2">
        <v>1555</v>
      </c>
      <c r="R4" s="2">
        <v>1015</v>
      </c>
      <c r="S4" s="2">
        <v>471</v>
      </c>
      <c r="T4" s="2">
        <v>150</v>
      </c>
    </row>
    <row r="5" spans="1:20" ht="21" x14ac:dyDescent="0.25">
      <c r="A5" s="1" t="s">
        <v>0</v>
      </c>
      <c r="B5" s="1" t="s">
        <v>5</v>
      </c>
      <c r="C5" s="2">
        <v>6530</v>
      </c>
      <c r="D5" s="2">
        <v>5527</v>
      </c>
      <c r="E5" s="6">
        <v>12057</v>
      </c>
      <c r="F5" s="2">
        <v>1830</v>
      </c>
      <c r="G5" s="2">
        <v>4070</v>
      </c>
      <c r="H5" s="2">
        <v>3059</v>
      </c>
      <c r="I5" s="2">
        <v>1579</v>
      </c>
      <c r="J5" s="2">
        <v>947</v>
      </c>
      <c r="K5" s="2">
        <v>572</v>
      </c>
      <c r="L5" s="2">
        <v>3334</v>
      </c>
      <c r="M5" s="2">
        <v>2305</v>
      </c>
      <c r="N5" s="6">
        <v>5639</v>
      </c>
      <c r="O5" s="2">
        <v>1168</v>
      </c>
      <c r="P5" s="2">
        <v>1906</v>
      </c>
      <c r="Q5" s="2">
        <v>1357</v>
      </c>
      <c r="R5" s="2">
        <v>684</v>
      </c>
      <c r="S5" s="2">
        <v>353</v>
      </c>
      <c r="T5" s="2">
        <v>150</v>
      </c>
    </row>
    <row r="6" spans="1:20" ht="21" x14ac:dyDescent="0.25">
      <c r="A6" s="1" t="s">
        <v>0</v>
      </c>
      <c r="B6" s="1" t="s">
        <v>4</v>
      </c>
      <c r="C6" s="2">
        <v>7231</v>
      </c>
      <c r="D6" s="2">
        <v>6332</v>
      </c>
      <c r="E6" s="6">
        <v>13563</v>
      </c>
      <c r="F6" s="2">
        <v>1631</v>
      </c>
      <c r="G6" s="2">
        <v>4263</v>
      </c>
      <c r="H6" s="2">
        <v>3816</v>
      </c>
      <c r="I6" s="2">
        <v>2063</v>
      </c>
      <c r="J6" s="2">
        <v>1176</v>
      </c>
      <c r="K6" s="2">
        <v>614</v>
      </c>
      <c r="L6" s="2">
        <v>2722</v>
      </c>
      <c r="M6" s="2">
        <v>1859</v>
      </c>
      <c r="N6" s="6">
        <v>4581</v>
      </c>
      <c r="O6" s="2">
        <v>1788</v>
      </c>
      <c r="P6" s="2">
        <v>2496</v>
      </c>
      <c r="Q6" s="2">
        <v>1655</v>
      </c>
      <c r="R6" s="2">
        <v>922</v>
      </c>
      <c r="S6" s="2">
        <v>356</v>
      </c>
      <c r="T6" s="2">
        <v>90</v>
      </c>
    </row>
    <row r="7" spans="1:20" ht="21" x14ac:dyDescent="0.25">
      <c r="A7" s="1" t="s">
        <v>0</v>
      </c>
      <c r="B7" s="1" t="s">
        <v>2</v>
      </c>
      <c r="C7" s="2">
        <v>15559</v>
      </c>
      <c r="D7" s="2">
        <v>13327</v>
      </c>
      <c r="E7" s="6">
        <v>28886</v>
      </c>
      <c r="F7" s="2">
        <v>3575</v>
      </c>
      <c r="G7" s="2">
        <v>10346</v>
      </c>
      <c r="H7" s="2">
        <v>7348</v>
      </c>
      <c r="I7" s="2">
        <v>4171</v>
      </c>
      <c r="J7" s="2">
        <v>2198</v>
      </c>
      <c r="K7" s="2">
        <v>1248</v>
      </c>
      <c r="L7" s="2">
        <v>4938</v>
      </c>
      <c r="M7" s="2">
        <v>3789</v>
      </c>
      <c r="N7" s="6">
        <v>8727</v>
      </c>
      <c r="O7" s="2">
        <v>1620</v>
      </c>
      <c r="P7" s="2">
        <v>2862</v>
      </c>
      <c r="Q7" s="2">
        <v>2136</v>
      </c>
      <c r="R7" s="2">
        <v>1347</v>
      </c>
      <c r="S7" s="2">
        <v>524</v>
      </c>
      <c r="T7" s="2">
        <v>207</v>
      </c>
    </row>
    <row r="8" spans="1:20" ht="21" x14ac:dyDescent="0.25">
      <c r="A8" s="1" t="s">
        <v>0</v>
      </c>
      <c r="B8" s="1" t="s">
        <v>6</v>
      </c>
      <c r="C8" s="2">
        <v>8300</v>
      </c>
      <c r="D8" s="2">
        <v>9124</v>
      </c>
      <c r="E8" s="6">
        <v>17424</v>
      </c>
      <c r="F8" s="2">
        <v>3122</v>
      </c>
      <c r="G8" s="2">
        <v>6070</v>
      </c>
      <c r="H8" s="2">
        <v>3781</v>
      </c>
      <c r="I8" s="2">
        <v>2135</v>
      </c>
      <c r="J8" s="2">
        <v>1310</v>
      </c>
      <c r="K8" s="2">
        <v>1006</v>
      </c>
      <c r="L8" s="2">
        <v>4706</v>
      </c>
      <c r="M8" s="2">
        <v>4469</v>
      </c>
      <c r="N8" s="6">
        <v>9175</v>
      </c>
      <c r="O8" s="2">
        <v>1866</v>
      </c>
      <c r="P8" s="2">
        <v>3059</v>
      </c>
      <c r="Q8" s="2">
        <v>1985</v>
      </c>
      <c r="R8" s="2">
        <v>1283</v>
      </c>
      <c r="S8" s="2">
        <v>668</v>
      </c>
      <c r="T8" s="2">
        <v>293</v>
      </c>
    </row>
    <row r="9" spans="1:20" ht="21" x14ac:dyDescent="0.25">
      <c r="A9" s="1" t="s">
        <v>7</v>
      </c>
      <c r="B9" s="1" t="s">
        <v>8</v>
      </c>
      <c r="C9" s="2">
        <v>20515</v>
      </c>
      <c r="D9" s="2">
        <v>19929</v>
      </c>
      <c r="E9" s="6">
        <v>40444</v>
      </c>
      <c r="F9" s="2">
        <v>8795</v>
      </c>
      <c r="G9" s="2">
        <v>13694</v>
      </c>
      <c r="H9" s="2">
        <v>9037</v>
      </c>
      <c r="I9" s="2">
        <v>4673</v>
      </c>
      <c r="J9" s="2">
        <v>2771</v>
      </c>
      <c r="K9" s="2">
        <v>1474</v>
      </c>
      <c r="L9" s="2">
        <v>14691</v>
      </c>
      <c r="M9" s="2">
        <v>14025</v>
      </c>
      <c r="N9" s="6">
        <v>28716</v>
      </c>
      <c r="O9" s="2">
        <v>7585</v>
      </c>
      <c r="P9" s="2">
        <v>9108</v>
      </c>
      <c r="Q9" s="2">
        <v>5109</v>
      </c>
      <c r="R9" s="2">
        <v>3121</v>
      </c>
      <c r="S9" s="2">
        <v>1552</v>
      </c>
      <c r="T9" s="2">
        <v>659</v>
      </c>
    </row>
    <row r="10" spans="1:20" ht="21" x14ac:dyDescent="0.25">
      <c r="A10" s="1" t="s">
        <v>7</v>
      </c>
      <c r="B10" s="1" t="s">
        <v>10</v>
      </c>
      <c r="C10" s="2">
        <v>4160</v>
      </c>
      <c r="D10" s="2">
        <v>4134</v>
      </c>
      <c r="E10" s="6">
        <v>8294</v>
      </c>
      <c r="F10" s="2">
        <v>1422</v>
      </c>
      <c r="G10" s="2">
        <v>2947</v>
      </c>
      <c r="H10" s="2">
        <v>1766</v>
      </c>
      <c r="I10" s="2">
        <v>1013</v>
      </c>
      <c r="J10" s="2">
        <v>680</v>
      </c>
      <c r="K10" s="2">
        <v>466</v>
      </c>
      <c r="L10" s="2">
        <v>2834</v>
      </c>
      <c r="M10" s="2">
        <v>2489</v>
      </c>
      <c r="N10" s="6">
        <v>5323</v>
      </c>
      <c r="O10" s="2">
        <v>1219</v>
      </c>
      <c r="P10" s="2">
        <v>1832</v>
      </c>
      <c r="Q10" s="2">
        <v>968</v>
      </c>
      <c r="R10" s="2">
        <v>678</v>
      </c>
      <c r="S10" s="2">
        <v>351</v>
      </c>
      <c r="T10" s="2">
        <v>157</v>
      </c>
    </row>
    <row r="11" spans="1:20" ht="21" x14ac:dyDescent="0.25">
      <c r="A11" s="1" t="s">
        <v>7</v>
      </c>
      <c r="B11" s="1" t="s">
        <v>11</v>
      </c>
      <c r="C11" s="2">
        <v>3902</v>
      </c>
      <c r="D11" s="2">
        <v>4420</v>
      </c>
      <c r="E11" s="6">
        <v>8322</v>
      </c>
      <c r="F11" s="2">
        <v>1542</v>
      </c>
      <c r="G11" s="2">
        <v>2823</v>
      </c>
      <c r="H11" s="2">
        <v>1697</v>
      </c>
      <c r="I11" s="2">
        <v>1017</v>
      </c>
      <c r="J11" s="2">
        <v>714</v>
      </c>
      <c r="K11" s="2">
        <v>529</v>
      </c>
      <c r="L11" s="2">
        <v>2692</v>
      </c>
      <c r="M11" s="2">
        <v>2970</v>
      </c>
      <c r="N11" s="6">
        <v>5662</v>
      </c>
      <c r="O11" s="2">
        <v>1385</v>
      </c>
      <c r="P11" s="2">
        <v>1800</v>
      </c>
      <c r="Q11" s="2">
        <v>988</v>
      </c>
      <c r="R11" s="2">
        <v>692</v>
      </c>
      <c r="S11" s="2">
        <v>441</v>
      </c>
      <c r="T11" s="2">
        <v>213</v>
      </c>
    </row>
    <row r="12" spans="1:20" ht="21" x14ac:dyDescent="0.25">
      <c r="A12" s="1" t="s">
        <v>7</v>
      </c>
      <c r="B12" s="1" t="s">
        <v>13</v>
      </c>
      <c r="C12" s="2">
        <v>2452</v>
      </c>
      <c r="D12" s="2">
        <v>2793</v>
      </c>
      <c r="E12" s="6">
        <v>5245</v>
      </c>
      <c r="F12" s="2">
        <v>1259</v>
      </c>
      <c r="G12" s="2">
        <v>1722</v>
      </c>
      <c r="H12" s="2">
        <v>907</v>
      </c>
      <c r="I12" s="2">
        <v>668</v>
      </c>
      <c r="J12" s="2">
        <v>355</v>
      </c>
      <c r="K12" s="2">
        <v>334</v>
      </c>
      <c r="L12" s="2">
        <v>1867</v>
      </c>
      <c r="M12" s="2">
        <v>2322</v>
      </c>
      <c r="N12" s="6">
        <v>4189</v>
      </c>
      <c r="O12" s="2">
        <v>1249</v>
      </c>
      <c r="P12" s="2">
        <v>1273</v>
      </c>
      <c r="Q12" s="2">
        <v>609</v>
      </c>
      <c r="R12" s="2">
        <v>517</v>
      </c>
      <c r="S12" s="2">
        <v>248</v>
      </c>
      <c r="T12" s="2">
        <v>177</v>
      </c>
    </row>
    <row r="13" spans="1:20" ht="21" x14ac:dyDescent="0.25">
      <c r="A13" s="1" t="s">
        <v>7</v>
      </c>
      <c r="B13" s="1" t="s">
        <v>9</v>
      </c>
      <c r="C13" s="2">
        <v>3113</v>
      </c>
      <c r="D13" s="2">
        <v>2819</v>
      </c>
      <c r="E13" s="6">
        <v>5932</v>
      </c>
      <c r="F13" s="2">
        <v>1047</v>
      </c>
      <c r="G13" s="2">
        <v>2405</v>
      </c>
      <c r="H13" s="2">
        <v>1233</v>
      </c>
      <c r="I13" s="2">
        <v>623</v>
      </c>
      <c r="J13" s="2">
        <v>343</v>
      </c>
      <c r="K13" s="2">
        <v>281</v>
      </c>
      <c r="L13" s="2">
        <v>2052</v>
      </c>
      <c r="M13" s="2">
        <v>1773</v>
      </c>
      <c r="N13" s="6">
        <v>3825</v>
      </c>
      <c r="O13" s="2">
        <v>1053</v>
      </c>
      <c r="P13" s="2">
        <v>1661</v>
      </c>
      <c r="Q13" s="2">
        <v>778</v>
      </c>
      <c r="R13" s="2">
        <v>454</v>
      </c>
      <c r="S13" s="2">
        <v>200</v>
      </c>
      <c r="T13" s="2">
        <v>119</v>
      </c>
    </row>
    <row r="14" spans="1:20" ht="21" x14ac:dyDescent="0.25">
      <c r="A14" s="1" t="s">
        <v>7</v>
      </c>
      <c r="B14" s="1" t="s">
        <v>14</v>
      </c>
      <c r="C14" s="2">
        <v>1732</v>
      </c>
      <c r="D14" s="2">
        <v>1786</v>
      </c>
      <c r="E14" s="6">
        <v>3518</v>
      </c>
      <c r="F14" s="2">
        <v>717</v>
      </c>
      <c r="G14" s="2">
        <v>1164</v>
      </c>
      <c r="H14" s="2">
        <v>666</v>
      </c>
      <c r="I14" s="2">
        <v>494</v>
      </c>
      <c r="J14" s="2">
        <v>255</v>
      </c>
      <c r="K14" s="2">
        <v>222</v>
      </c>
      <c r="L14" s="2">
        <v>1291</v>
      </c>
      <c r="M14" s="2">
        <v>1458</v>
      </c>
      <c r="N14" s="6">
        <v>2749</v>
      </c>
      <c r="O14" s="2">
        <v>728</v>
      </c>
      <c r="P14" s="2">
        <v>883</v>
      </c>
      <c r="Q14" s="2">
        <v>442</v>
      </c>
      <c r="R14" s="2">
        <v>377</v>
      </c>
      <c r="S14" s="2">
        <v>157</v>
      </c>
      <c r="T14" s="2">
        <v>96</v>
      </c>
    </row>
    <row r="15" spans="1:20" ht="21" x14ac:dyDescent="0.25">
      <c r="A15" s="1" t="s">
        <v>7</v>
      </c>
      <c r="B15" s="1" t="s">
        <v>17</v>
      </c>
      <c r="C15" s="2">
        <v>1699</v>
      </c>
      <c r="D15" s="2">
        <v>1692</v>
      </c>
      <c r="E15" s="6">
        <v>3391</v>
      </c>
      <c r="F15" s="2">
        <v>853</v>
      </c>
      <c r="G15" s="2">
        <v>1125</v>
      </c>
      <c r="H15" s="2">
        <v>484</v>
      </c>
      <c r="I15" s="2">
        <v>468</v>
      </c>
      <c r="J15" s="2">
        <v>231</v>
      </c>
      <c r="K15" s="2">
        <v>230</v>
      </c>
      <c r="L15" s="2">
        <v>1054</v>
      </c>
      <c r="M15" s="2">
        <v>1156</v>
      </c>
      <c r="N15" s="6">
        <v>2210</v>
      </c>
      <c r="O15" s="2">
        <v>654</v>
      </c>
      <c r="P15" s="2">
        <v>625</v>
      </c>
      <c r="Q15" s="2">
        <v>305</v>
      </c>
      <c r="R15" s="2">
        <v>333</v>
      </c>
      <c r="S15" s="2">
        <v>159</v>
      </c>
      <c r="T15" s="2">
        <v>96</v>
      </c>
    </row>
    <row r="16" spans="1:20" ht="21" x14ac:dyDescent="0.25">
      <c r="A16" s="1" t="s">
        <v>7</v>
      </c>
      <c r="B16" s="1" t="s">
        <v>15</v>
      </c>
      <c r="C16" s="2">
        <v>525</v>
      </c>
      <c r="D16" s="2">
        <v>460</v>
      </c>
      <c r="E16" s="6">
        <v>985</v>
      </c>
      <c r="F16" s="2">
        <v>138</v>
      </c>
      <c r="G16" s="2">
        <v>366</v>
      </c>
      <c r="H16" s="2">
        <v>220</v>
      </c>
      <c r="I16" s="2">
        <v>130</v>
      </c>
      <c r="J16" s="2">
        <v>78</v>
      </c>
      <c r="K16" s="2">
        <v>53</v>
      </c>
      <c r="L16" s="2">
        <v>308</v>
      </c>
      <c r="M16" s="2">
        <v>196</v>
      </c>
      <c r="N16" s="6">
        <v>504</v>
      </c>
      <c r="O16" s="2">
        <v>106</v>
      </c>
      <c r="P16" s="2">
        <v>173</v>
      </c>
      <c r="Q16" s="2">
        <v>102</v>
      </c>
      <c r="R16" s="2">
        <v>63</v>
      </c>
      <c r="S16" s="2">
        <v>30</v>
      </c>
      <c r="T16" s="2">
        <v>9</v>
      </c>
    </row>
    <row r="17" spans="1:20" ht="21" x14ac:dyDescent="0.25">
      <c r="A17" s="1" t="s">
        <v>7</v>
      </c>
      <c r="B17" s="1" t="s">
        <v>16</v>
      </c>
      <c r="C17" s="2">
        <v>1183</v>
      </c>
      <c r="D17" s="2">
        <v>1038</v>
      </c>
      <c r="E17" s="6">
        <v>2221</v>
      </c>
      <c r="F17" s="2">
        <v>603</v>
      </c>
      <c r="G17" s="2">
        <v>734</v>
      </c>
      <c r="H17" s="2">
        <v>329</v>
      </c>
      <c r="I17" s="2">
        <v>237</v>
      </c>
      <c r="J17" s="2">
        <v>172</v>
      </c>
      <c r="K17" s="2">
        <v>146</v>
      </c>
      <c r="L17" s="2">
        <v>1069</v>
      </c>
      <c r="M17" s="2">
        <v>951</v>
      </c>
      <c r="N17" s="6">
        <v>2020</v>
      </c>
      <c r="O17" s="2">
        <v>634</v>
      </c>
      <c r="P17" s="2">
        <v>613</v>
      </c>
      <c r="Q17" s="2">
        <v>265</v>
      </c>
      <c r="R17" s="2">
        <v>203</v>
      </c>
      <c r="S17" s="2">
        <v>132</v>
      </c>
      <c r="T17" s="2">
        <v>96</v>
      </c>
    </row>
    <row r="18" spans="1:20" ht="21" x14ac:dyDescent="0.25">
      <c r="A18" s="1" t="s">
        <v>7</v>
      </c>
      <c r="B18" s="1" t="s">
        <v>12</v>
      </c>
      <c r="C18" s="2">
        <v>1105</v>
      </c>
      <c r="D18" s="2">
        <v>1201</v>
      </c>
      <c r="E18" s="6">
        <v>2306</v>
      </c>
      <c r="F18" s="2">
        <v>333</v>
      </c>
      <c r="G18" s="2">
        <v>882</v>
      </c>
      <c r="H18" s="2">
        <v>422</v>
      </c>
      <c r="I18" s="2">
        <v>295</v>
      </c>
      <c r="J18" s="2">
        <v>218</v>
      </c>
      <c r="K18" s="2">
        <v>156</v>
      </c>
      <c r="L18" s="2">
        <v>692</v>
      </c>
      <c r="M18" s="2">
        <v>586</v>
      </c>
      <c r="N18" s="6">
        <v>1278</v>
      </c>
      <c r="O18" s="2">
        <v>218</v>
      </c>
      <c r="P18" s="2">
        <v>467</v>
      </c>
      <c r="Q18" s="2">
        <v>230</v>
      </c>
      <c r="R18" s="2">
        <v>199</v>
      </c>
      <c r="S18" s="2">
        <v>99</v>
      </c>
      <c r="T18" s="2">
        <v>56</v>
      </c>
    </row>
    <row r="19" spans="1:20" ht="21" x14ac:dyDescent="0.25">
      <c r="A19" s="1" t="s">
        <v>18</v>
      </c>
      <c r="B19" s="1" t="s">
        <v>19</v>
      </c>
      <c r="C19" s="2">
        <v>3340</v>
      </c>
      <c r="D19" s="2">
        <v>2976</v>
      </c>
      <c r="E19" s="6">
        <v>6316</v>
      </c>
      <c r="F19" s="2">
        <v>977</v>
      </c>
      <c r="G19" s="2">
        <v>2065</v>
      </c>
      <c r="H19" s="2">
        <v>1367</v>
      </c>
      <c r="I19" s="2">
        <v>717</v>
      </c>
      <c r="J19" s="2">
        <v>643</v>
      </c>
      <c r="K19" s="2">
        <v>547</v>
      </c>
      <c r="L19" s="2">
        <v>2258</v>
      </c>
      <c r="M19" s="2">
        <v>1858</v>
      </c>
      <c r="N19" s="6">
        <v>4116</v>
      </c>
      <c r="O19" s="2">
        <v>862</v>
      </c>
      <c r="P19" s="2">
        <v>1324</v>
      </c>
      <c r="Q19" s="2">
        <v>866</v>
      </c>
      <c r="R19" s="2">
        <v>495</v>
      </c>
      <c r="S19" s="2">
        <v>370</v>
      </c>
      <c r="T19" s="2">
        <v>206</v>
      </c>
    </row>
    <row r="20" spans="1:20" ht="21" x14ac:dyDescent="0.25">
      <c r="A20" s="1" t="s">
        <v>18</v>
      </c>
      <c r="B20" s="1" t="s">
        <v>21</v>
      </c>
      <c r="C20" s="2">
        <v>1496</v>
      </c>
      <c r="D20" s="2">
        <v>1120</v>
      </c>
      <c r="E20" s="6">
        <v>2616</v>
      </c>
      <c r="F20" s="2">
        <v>431</v>
      </c>
      <c r="G20" s="2">
        <v>908</v>
      </c>
      <c r="H20" s="2">
        <v>533</v>
      </c>
      <c r="I20" s="2">
        <v>291</v>
      </c>
      <c r="J20" s="2">
        <v>225</v>
      </c>
      <c r="K20" s="2">
        <v>228</v>
      </c>
      <c r="L20" s="2">
        <v>1094</v>
      </c>
      <c r="M20" s="2">
        <v>666</v>
      </c>
      <c r="N20" s="6">
        <v>1760</v>
      </c>
      <c r="O20" s="2">
        <v>175</v>
      </c>
      <c r="P20" s="2">
        <v>316</v>
      </c>
      <c r="Q20" s="2">
        <v>193</v>
      </c>
      <c r="R20" s="2">
        <v>104</v>
      </c>
      <c r="S20" s="2">
        <v>76</v>
      </c>
      <c r="T20" s="2">
        <v>41</v>
      </c>
    </row>
    <row r="21" spans="1:20" ht="21" x14ac:dyDescent="0.25">
      <c r="A21" s="1" t="s">
        <v>18</v>
      </c>
      <c r="B21" s="1" t="s">
        <v>20</v>
      </c>
      <c r="C21" s="2">
        <v>720</v>
      </c>
      <c r="D21" s="2">
        <v>548</v>
      </c>
      <c r="E21" s="6">
        <v>1268</v>
      </c>
      <c r="F21" s="2">
        <v>180</v>
      </c>
      <c r="G21" s="2">
        <v>452</v>
      </c>
      <c r="H21" s="2">
        <v>292</v>
      </c>
      <c r="I21" s="2">
        <v>135</v>
      </c>
      <c r="J21" s="2">
        <v>107</v>
      </c>
      <c r="K21" s="2">
        <v>102</v>
      </c>
      <c r="L21" s="2">
        <v>540</v>
      </c>
      <c r="M21" s="2">
        <v>371</v>
      </c>
      <c r="N21" s="6">
        <v>911</v>
      </c>
      <c r="O21" s="2">
        <v>346</v>
      </c>
      <c r="P21" s="2">
        <v>624</v>
      </c>
      <c r="Q21" s="2">
        <v>357</v>
      </c>
      <c r="R21" s="2">
        <v>205</v>
      </c>
      <c r="S21" s="2">
        <v>139</v>
      </c>
      <c r="T21" s="2">
        <v>85</v>
      </c>
    </row>
    <row r="22" spans="1:20" ht="21" x14ac:dyDescent="0.25">
      <c r="A22" s="1" t="s">
        <v>18</v>
      </c>
      <c r="B22" s="1" t="s">
        <v>22</v>
      </c>
      <c r="C22" s="2">
        <v>732</v>
      </c>
      <c r="D22" s="2">
        <v>662</v>
      </c>
      <c r="E22" s="6">
        <v>1394</v>
      </c>
      <c r="F22" s="2">
        <v>275</v>
      </c>
      <c r="G22" s="2">
        <v>530</v>
      </c>
      <c r="H22" s="2">
        <v>278</v>
      </c>
      <c r="I22" s="2">
        <v>122</v>
      </c>
      <c r="J22" s="2">
        <v>93</v>
      </c>
      <c r="K22" s="2">
        <v>96</v>
      </c>
      <c r="L22" s="2">
        <v>500</v>
      </c>
      <c r="M22" s="2">
        <v>382</v>
      </c>
      <c r="N22" s="6">
        <v>882</v>
      </c>
      <c r="O22" s="2">
        <v>225</v>
      </c>
      <c r="P22" s="2">
        <v>313</v>
      </c>
      <c r="Q22" s="2">
        <v>171</v>
      </c>
      <c r="R22" s="2">
        <v>84</v>
      </c>
      <c r="S22" s="2">
        <v>48</v>
      </c>
      <c r="T22" s="2">
        <v>21</v>
      </c>
    </row>
    <row r="23" spans="1:20" ht="21" x14ac:dyDescent="0.25">
      <c r="A23" s="1" t="s">
        <v>23</v>
      </c>
      <c r="B23" s="1" t="s">
        <v>24</v>
      </c>
      <c r="C23" s="2">
        <v>8099</v>
      </c>
      <c r="D23" s="2">
        <v>5417</v>
      </c>
      <c r="E23" s="6">
        <v>13516</v>
      </c>
      <c r="F23" s="2">
        <v>1692</v>
      </c>
      <c r="G23" s="2">
        <v>4887</v>
      </c>
      <c r="H23" s="2">
        <v>3357</v>
      </c>
      <c r="I23" s="2">
        <v>1707</v>
      </c>
      <c r="J23" s="2">
        <v>1126</v>
      </c>
      <c r="K23" s="2">
        <v>747</v>
      </c>
      <c r="L23" s="2">
        <v>3698</v>
      </c>
      <c r="M23" s="2">
        <v>2087</v>
      </c>
      <c r="N23" s="6">
        <v>5785</v>
      </c>
      <c r="O23" s="2">
        <v>1074</v>
      </c>
      <c r="P23" s="2">
        <v>2083</v>
      </c>
      <c r="Q23" s="2">
        <v>1211</v>
      </c>
      <c r="R23" s="2">
        <v>733</v>
      </c>
      <c r="S23" s="2">
        <v>473</v>
      </c>
      <c r="T23" s="2">
        <v>193</v>
      </c>
    </row>
    <row r="24" spans="1:20" ht="21" x14ac:dyDescent="0.25">
      <c r="A24" s="1" t="s">
        <v>23</v>
      </c>
      <c r="B24" s="1" t="s">
        <v>25</v>
      </c>
      <c r="C24" s="2">
        <v>1271</v>
      </c>
      <c r="D24" s="2">
        <v>798</v>
      </c>
      <c r="E24" s="6">
        <v>2069</v>
      </c>
      <c r="F24" s="2">
        <v>281</v>
      </c>
      <c r="G24" s="2">
        <v>703</v>
      </c>
      <c r="H24" s="2">
        <v>501</v>
      </c>
      <c r="I24" s="2">
        <v>231</v>
      </c>
      <c r="J24" s="2">
        <v>175</v>
      </c>
      <c r="K24" s="2">
        <v>178</v>
      </c>
      <c r="L24" s="2">
        <v>712</v>
      </c>
      <c r="M24" s="2">
        <v>399</v>
      </c>
      <c r="N24" s="6">
        <v>1111</v>
      </c>
      <c r="O24" s="2">
        <v>237</v>
      </c>
      <c r="P24" s="2">
        <v>375</v>
      </c>
      <c r="Q24" s="2">
        <v>228</v>
      </c>
      <c r="R24" s="2">
        <v>127</v>
      </c>
      <c r="S24" s="2">
        <v>83</v>
      </c>
      <c r="T24" s="2">
        <v>60</v>
      </c>
    </row>
    <row r="25" spans="1:20" ht="21" x14ac:dyDescent="0.25">
      <c r="A25" s="1" t="s">
        <v>23</v>
      </c>
      <c r="B25" s="1" t="s">
        <v>26</v>
      </c>
      <c r="C25" s="2">
        <v>203</v>
      </c>
      <c r="D25" s="2">
        <v>166</v>
      </c>
      <c r="E25" s="6">
        <v>369</v>
      </c>
      <c r="F25" s="2">
        <v>94</v>
      </c>
      <c r="G25" s="2">
        <v>120</v>
      </c>
      <c r="H25" s="2">
        <v>69</v>
      </c>
      <c r="I25" s="2">
        <v>42</v>
      </c>
      <c r="J25" s="2">
        <v>24</v>
      </c>
      <c r="K25" s="2">
        <v>20</v>
      </c>
      <c r="L25" s="2">
        <v>173</v>
      </c>
      <c r="M25" s="2">
        <v>131</v>
      </c>
      <c r="N25" s="6">
        <v>304</v>
      </c>
      <c r="O25" s="2">
        <v>92</v>
      </c>
      <c r="P25" s="2">
        <v>92</v>
      </c>
      <c r="Q25" s="2">
        <v>52</v>
      </c>
      <c r="R25" s="2">
        <v>36</v>
      </c>
      <c r="S25" s="2">
        <v>21</v>
      </c>
      <c r="T25" s="2">
        <v>11</v>
      </c>
    </row>
    <row r="26" spans="1:20" ht="21" x14ac:dyDescent="0.25">
      <c r="A26" s="1" t="s">
        <v>82</v>
      </c>
      <c r="B26" s="1" t="s">
        <v>27</v>
      </c>
      <c r="C26" s="2">
        <v>8628</v>
      </c>
      <c r="D26" s="2">
        <v>5117</v>
      </c>
      <c r="E26" s="6">
        <v>13745</v>
      </c>
      <c r="F26" s="2">
        <v>1494</v>
      </c>
      <c r="G26" s="2">
        <v>5231</v>
      </c>
      <c r="H26" s="2">
        <v>3639</v>
      </c>
      <c r="I26" s="2">
        <v>1719</v>
      </c>
      <c r="J26" s="2">
        <v>1000</v>
      </c>
      <c r="K26" s="2">
        <v>662</v>
      </c>
      <c r="L26" s="2">
        <v>3391</v>
      </c>
      <c r="M26" s="2">
        <v>1033</v>
      </c>
      <c r="N26" s="6">
        <v>4424</v>
      </c>
      <c r="O26" s="2">
        <v>771</v>
      </c>
      <c r="P26" s="2">
        <v>1590</v>
      </c>
      <c r="Q26" s="2">
        <v>1176</v>
      </c>
      <c r="R26" s="2">
        <v>552</v>
      </c>
      <c r="S26" s="2">
        <v>211</v>
      </c>
      <c r="T26" s="2">
        <v>93</v>
      </c>
    </row>
    <row r="27" spans="1:20" ht="21" x14ac:dyDescent="0.25">
      <c r="A27" s="1" t="s">
        <v>82</v>
      </c>
      <c r="B27" s="1" t="s">
        <v>29</v>
      </c>
      <c r="C27" s="2">
        <v>10270</v>
      </c>
      <c r="D27" s="2">
        <v>7487</v>
      </c>
      <c r="E27" s="6">
        <v>17757</v>
      </c>
      <c r="F27" s="2">
        <v>2420</v>
      </c>
      <c r="G27" s="2">
        <v>6487</v>
      </c>
      <c r="H27" s="2">
        <v>4081</v>
      </c>
      <c r="I27" s="2">
        <v>2116</v>
      </c>
      <c r="J27" s="2">
        <v>1538</v>
      </c>
      <c r="K27" s="2">
        <v>1115</v>
      </c>
      <c r="L27" s="2">
        <v>4932</v>
      </c>
      <c r="M27" s="2">
        <v>2642</v>
      </c>
      <c r="N27" s="6">
        <v>7574</v>
      </c>
      <c r="O27" s="2">
        <v>1504</v>
      </c>
      <c r="P27" s="2">
        <v>2522</v>
      </c>
      <c r="Q27" s="2">
        <v>1530</v>
      </c>
      <c r="R27" s="2">
        <v>1014</v>
      </c>
      <c r="S27" s="2">
        <v>656</v>
      </c>
      <c r="T27" s="2">
        <v>280</v>
      </c>
    </row>
    <row r="28" spans="1:20" ht="21" x14ac:dyDescent="0.25">
      <c r="A28" s="1" t="s">
        <v>82</v>
      </c>
      <c r="B28" s="1" t="s">
        <v>32</v>
      </c>
      <c r="C28" s="2">
        <v>2792</v>
      </c>
      <c r="D28" s="2">
        <v>3146</v>
      </c>
      <c r="E28" s="6">
        <v>5938</v>
      </c>
      <c r="F28" s="2">
        <v>1004</v>
      </c>
      <c r="G28" s="2">
        <v>2154</v>
      </c>
      <c r="H28" s="2">
        <v>1333</v>
      </c>
      <c r="I28" s="2">
        <v>677</v>
      </c>
      <c r="J28" s="2">
        <v>460</v>
      </c>
      <c r="K28" s="2">
        <v>310</v>
      </c>
      <c r="L28" s="2">
        <v>1799</v>
      </c>
      <c r="M28" s="2">
        <v>1749</v>
      </c>
      <c r="N28" s="6">
        <v>3548</v>
      </c>
      <c r="O28" s="2">
        <v>746</v>
      </c>
      <c r="P28" s="2">
        <v>1140</v>
      </c>
      <c r="Q28" s="2">
        <v>748</v>
      </c>
      <c r="R28" s="2">
        <v>476</v>
      </c>
      <c r="S28" s="2">
        <v>267</v>
      </c>
      <c r="T28" s="2">
        <v>121</v>
      </c>
    </row>
    <row r="29" spans="1:20" ht="21" x14ac:dyDescent="0.25">
      <c r="A29" s="1" t="s">
        <v>82</v>
      </c>
      <c r="B29" s="1" t="s">
        <v>31</v>
      </c>
      <c r="C29" s="2">
        <v>3063</v>
      </c>
      <c r="D29" s="2">
        <v>2633</v>
      </c>
      <c r="E29" s="6">
        <v>5696</v>
      </c>
      <c r="F29" s="2">
        <v>775</v>
      </c>
      <c r="G29" s="2">
        <v>1928</v>
      </c>
      <c r="H29" s="2">
        <v>1340</v>
      </c>
      <c r="I29" s="2">
        <v>817</v>
      </c>
      <c r="J29" s="2">
        <v>455</v>
      </c>
      <c r="K29" s="2">
        <v>381</v>
      </c>
      <c r="L29" s="2">
        <v>1486</v>
      </c>
      <c r="M29" s="2">
        <v>774</v>
      </c>
      <c r="N29" s="6">
        <v>2260</v>
      </c>
      <c r="O29" s="2">
        <v>407</v>
      </c>
      <c r="P29" s="2">
        <v>703</v>
      </c>
      <c r="Q29" s="2">
        <v>512</v>
      </c>
      <c r="R29" s="2">
        <v>362</v>
      </c>
      <c r="S29" s="2">
        <v>171</v>
      </c>
      <c r="T29" s="2">
        <v>91</v>
      </c>
    </row>
    <row r="30" spans="1:20" ht="21" x14ac:dyDescent="0.25">
      <c r="A30" s="1" t="s">
        <v>82</v>
      </c>
      <c r="B30" s="1" t="s">
        <v>30</v>
      </c>
      <c r="C30" s="2">
        <v>3412</v>
      </c>
      <c r="D30" s="2">
        <v>2997</v>
      </c>
      <c r="E30" s="6">
        <v>6409</v>
      </c>
      <c r="F30" s="2">
        <v>1155</v>
      </c>
      <c r="G30" s="2">
        <v>2109</v>
      </c>
      <c r="H30" s="2">
        <v>1320</v>
      </c>
      <c r="I30" s="2">
        <v>914</v>
      </c>
      <c r="J30" s="2">
        <v>534</v>
      </c>
      <c r="K30" s="2">
        <v>377</v>
      </c>
      <c r="L30" s="2">
        <v>2264</v>
      </c>
      <c r="M30" s="2">
        <v>1656</v>
      </c>
      <c r="N30" s="6">
        <v>3920</v>
      </c>
      <c r="O30" s="2">
        <v>1126</v>
      </c>
      <c r="P30" s="2">
        <v>1506</v>
      </c>
      <c r="Q30" s="2">
        <v>835</v>
      </c>
      <c r="R30" s="2">
        <v>568</v>
      </c>
      <c r="S30" s="2">
        <v>284</v>
      </c>
      <c r="T30" s="2">
        <v>136</v>
      </c>
    </row>
    <row r="31" spans="1:20" ht="21" x14ac:dyDescent="0.25">
      <c r="A31" s="1" t="s">
        <v>82</v>
      </c>
      <c r="B31" s="1" t="s">
        <v>33</v>
      </c>
      <c r="C31" s="2">
        <v>5657</v>
      </c>
      <c r="D31" s="2">
        <v>5886</v>
      </c>
      <c r="E31" s="6">
        <v>11543</v>
      </c>
      <c r="F31" s="2">
        <v>1643</v>
      </c>
      <c r="G31" s="2">
        <v>4123</v>
      </c>
      <c r="H31" s="2">
        <v>2664</v>
      </c>
      <c r="I31" s="2">
        <v>1354</v>
      </c>
      <c r="J31" s="2">
        <v>1051</v>
      </c>
      <c r="K31" s="2">
        <v>708</v>
      </c>
      <c r="L31" s="2">
        <v>2524</v>
      </c>
      <c r="M31" s="2">
        <v>1795</v>
      </c>
      <c r="N31" s="6">
        <v>4319</v>
      </c>
      <c r="O31" s="2">
        <v>835</v>
      </c>
      <c r="P31" s="2">
        <v>1354</v>
      </c>
      <c r="Q31" s="2">
        <v>984</v>
      </c>
      <c r="R31" s="2">
        <v>585</v>
      </c>
      <c r="S31" s="2">
        <v>359</v>
      </c>
      <c r="T31" s="2">
        <v>169</v>
      </c>
    </row>
    <row r="32" spans="1:20" ht="21" x14ac:dyDescent="0.25">
      <c r="A32" s="1" t="s">
        <v>82</v>
      </c>
      <c r="B32" s="1" t="s">
        <v>28</v>
      </c>
      <c r="C32" s="2">
        <v>6934</v>
      </c>
      <c r="D32" s="2">
        <v>5570</v>
      </c>
      <c r="E32" s="6">
        <v>12504</v>
      </c>
      <c r="F32" s="2">
        <v>1337</v>
      </c>
      <c r="G32" s="2">
        <v>4646</v>
      </c>
      <c r="H32" s="2">
        <v>3113</v>
      </c>
      <c r="I32" s="2">
        <v>1703</v>
      </c>
      <c r="J32" s="2">
        <v>998</v>
      </c>
      <c r="K32" s="2">
        <v>707</v>
      </c>
      <c r="L32" s="2">
        <v>2894</v>
      </c>
      <c r="M32" s="2">
        <v>1468</v>
      </c>
      <c r="N32" s="6">
        <v>4362</v>
      </c>
      <c r="O32" s="2">
        <v>695</v>
      </c>
      <c r="P32" s="2">
        <v>1471</v>
      </c>
      <c r="Q32" s="2">
        <v>1064</v>
      </c>
      <c r="R32" s="2">
        <v>663</v>
      </c>
      <c r="S32" s="2">
        <v>315</v>
      </c>
      <c r="T32" s="2">
        <v>141</v>
      </c>
    </row>
    <row r="33" spans="1:20" ht="21" x14ac:dyDescent="0.25">
      <c r="A33" s="1" t="s">
        <v>82</v>
      </c>
      <c r="B33" s="1" t="s">
        <v>34</v>
      </c>
      <c r="C33" s="2">
        <v>4175</v>
      </c>
      <c r="D33" s="2">
        <v>3960</v>
      </c>
      <c r="E33" s="6">
        <v>8135</v>
      </c>
      <c r="F33" s="2">
        <v>858</v>
      </c>
      <c r="G33" s="2">
        <v>3026</v>
      </c>
      <c r="H33" s="2">
        <v>2021</v>
      </c>
      <c r="I33" s="2">
        <v>1134</v>
      </c>
      <c r="J33" s="2">
        <v>636</v>
      </c>
      <c r="K33" s="2">
        <v>460</v>
      </c>
      <c r="L33" s="2">
        <v>1870</v>
      </c>
      <c r="M33" s="2">
        <v>1029</v>
      </c>
      <c r="N33" s="6">
        <v>2899</v>
      </c>
      <c r="O33" s="2">
        <v>392</v>
      </c>
      <c r="P33" s="2">
        <v>981</v>
      </c>
      <c r="Q33" s="2">
        <v>782</v>
      </c>
      <c r="R33" s="2">
        <v>449</v>
      </c>
      <c r="S33" s="2">
        <v>191</v>
      </c>
      <c r="T33" s="2">
        <v>93</v>
      </c>
    </row>
    <row r="34" spans="1:20" ht="21" x14ac:dyDescent="0.25">
      <c r="A34" s="1" t="s">
        <v>83</v>
      </c>
      <c r="B34" s="1" t="s">
        <v>35</v>
      </c>
      <c r="C34" s="2">
        <v>16809</v>
      </c>
      <c r="D34" s="2">
        <v>14724</v>
      </c>
      <c r="E34" s="6">
        <v>31533</v>
      </c>
      <c r="F34" s="2">
        <v>3506</v>
      </c>
      <c r="G34" s="2">
        <v>11387</v>
      </c>
      <c r="H34" s="2">
        <v>7590</v>
      </c>
      <c r="I34" s="2">
        <v>4108</v>
      </c>
      <c r="J34" s="2">
        <v>2897</v>
      </c>
      <c r="K34" s="2">
        <v>2045</v>
      </c>
      <c r="L34" s="2">
        <v>6690</v>
      </c>
      <c r="M34" s="2">
        <v>4450</v>
      </c>
      <c r="N34" s="6">
        <v>11140</v>
      </c>
      <c r="O34" s="2">
        <v>1830</v>
      </c>
      <c r="P34" s="2">
        <v>4012</v>
      </c>
      <c r="Q34" s="2">
        <v>2494</v>
      </c>
      <c r="R34" s="2">
        <v>1483</v>
      </c>
      <c r="S34" s="2">
        <v>946</v>
      </c>
      <c r="T34" s="2">
        <v>366</v>
      </c>
    </row>
    <row r="35" spans="1:20" ht="21" x14ac:dyDescent="0.25">
      <c r="A35" s="1" t="s">
        <v>83</v>
      </c>
      <c r="B35" s="1" t="s">
        <v>36</v>
      </c>
      <c r="C35" s="2">
        <v>11165</v>
      </c>
      <c r="D35" s="2">
        <v>8763</v>
      </c>
      <c r="E35" s="6">
        <v>19928</v>
      </c>
      <c r="F35" s="2">
        <v>3359</v>
      </c>
      <c r="G35" s="2">
        <v>7076</v>
      </c>
      <c r="H35" s="2">
        <v>4206</v>
      </c>
      <c r="I35" s="2">
        <v>2007</v>
      </c>
      <c r="J35" s="2">
        <v>1698</v>
      </c>
      <c r="K35" s="2">
        <v>1582</v>
      </c>
      <c r="L35" s="2">
        <v>5840</v>
      </c>
      <c r="M35" s="2">
        <v>3618</v>
      </c>
      <c r="N35" s="6">
        <v>9458</v>
      </c>
      <c r="O35" s="2">
        <v>2042</v>
      </c>
      <c r="P35" s="2">
        <v>3215</v>
      </c>
      <c r="Q35" s="2">
        <v>1777</v>
      </c>
      <c r="R35" s="2">
        <v>1060</v>
      </c>
      <c r="S35" s="2">
        <v>815</v>
      </c>
      <c r="T35" s="2">
        <v>519</v>
      </c>
    </row>
    <row r="36" spans="1:20" ht="21" x14ac:dyDescent="0.25">
      <c r="A36" s="1" t="s">
        <v>83</v>
      </c>
      <c r="B36" s="1" t="s">
        <v>37</v>
      </c>
      <c r="C36" s="2">
        <v>5921</v>
      </c>
      <c r="D36" s="2">
        <v>4831</v>
      </c>
      <c r="E36" s="6">
        <v>10752</v>
      </c>
      <c r="F36" s="2">
        <v>1717</v>
      </c>
      <c r="G36" s="2">
        <v>3939</v>
      </c>
      <c r="H36" s="2">
        <v>2269</v>
      </c>
      <c r="I36" s="2">
        <v>1171</v>
      </c>
      <c r="J36" s="2">
        <v>907</v>
      </c>
      <c r="K36" s="2">
        <v>749</v>
      </c>
      <c r="L36" s="2">
        <v>3883</v>
      </c>
      <c r="M36" s="2">
        <v>2514</v>
      </c>
      <c r="N36" s="6">
        <v>6397</v>
      </c>
      <c r="O36" s="2">
        <v>1509</v>
      </c>
      <c r="P36" s="2">
        <v>2284</v>
      </c>
      <c r="Q36" s="2">
        <v>1189</v>
      </c>
      <c r="R36" s="2">
        <v>682</v>
      </c>
      <c r="S36" s="2">
        <v>473</v>
      </c>
      <c r="T36" s="2">
        <v>247</v>
      </c>
    </row>
    <row r="37" spans="1:20" ht="21" x14ac:dyDescent="0.25">
      <c r="A37" s="1" t="s">
        <v>83</v>
      </c>
      <c r="B37" s="1" t="s">
        <v>38</v>
      </c>
      <c r="C37" s="2">
        <v>14797</v>
      </c>
      <c r="D37" s="2">
        <v>13374</v>
      </c>
      <c r="E37" s="6">
        <v>28171</v>
      </c>
      <c r="F37" s="2">
        <v>3773</v>
      </c>
      <c r="G37" s="2">
        <v>10203</v>
      </c>
      <c r="H37" s="2">
        <v>6312</v>
      </c>
      <c r="I37" s="2">
        <v>3766</v>
      </c>
      <c r="J37" s="2">
        <v>2426</v>
      </c>
      <c r="K37" s="2">
        <v>1691</v>
      </c>
      <c r="L37" s="2">
        <v>6769</v>
      </c>
      <c r="M37" s="2">
        <v>5500</v>
      </c>
      <c r="N37" s="6">
        <v>12269</v>
      </c>
      <c r="O37" s="2">
        <v>2580</v>
      </c>
      <c r="P37" s="2">
        <v>4168</v>
      </c>
      <c r="Q37" s="2">
        <v>2431</v>
      </c>
      <c r="R37" s="2">
        <v>1688</v>
      </c>
      <c r="S37" s="2">
        <v>970</v>
      </c>
      <c r="T37" s="2">
        <v>403</v>
      </c>
    </row>
    <row r="38" spans="1:20" ht="21" x14ac:dyDescent="0.25">
      <c r="A38" s="1" t="s">
        <v>83</v>
      </c>
      <c r="B38" s="1" t="s">
        <v>39</v>
      </c>
      <c r="C38" s="2">
        <v>9384</v>
      </c>
      <c r="D38" s="2">
        <v>8802</v>
      </c>
      <c r="E38" s="6">
        <v>18186</v>
      </c>
      <c r="F38" s="2">
        <v>2335</v>
      </c>
      <c r="G38" s="2">
        <v>6438</v>
      </c>
      <c r="H38" s="2">
        <v>4107</v>
      </c>
      <c r="I38" s="2">
        <v>2421</v>
      </c>
      <c r="J38" s="2">
        <v>1740</v>
      </c>
      <c r="K38" s="2">
        <v>1145</v>
      </c>
      <c r="L38" s="2">
        <v>4454</v>
      </c>
      <c r="M38" s="2">
        <v>3785</v>
      </c>
      <c r="N38" s="6">
        <v>8239</v>
      </c>
      <c r="O38" s="2">
        <v>1595</v>
      </c>
      <c r="P38" s="2">
        <v>2532</v>
      </c>
      <c r="Q38" s="2">
        <v>1715</v>
      </c>
      <c r="R38" s="2">
        <v>1217</v>
      </c>
      <c r="S38" s="2">
        <v>779</v>
      </c>
      <c r="T38" s="2">
        <v>346</v>
      </c>
    </row>
    <row r="39" spans="1:20" ht="21" x14ac:dyDescent="0.25">
      <c r="A39" s="1" t="s">
        <v>83</v>
      </c>
      <c r="B39" s="1" t="s">
        <v>40</v>
      </c>
      <c r="C39" s="2">
        <v>18621</v>
      </c>
      <c r="D39" s="2">
        <v>17528</v>
      </c>
      <c r="E39" s="6">
        <v>36149</v>
      </c>
      <c r="F39" s="2">
        <v>5467</v>
      </c>
      <c r="G39" s="2">
        <v>13220</v>
      </c>
      <c r="H39" s="2">
        <v>7824</v>
      </c>
      <c r="I39" s="2">
        <v>4412</v>
      </c>
      <c r="J39" s="2">
        <v>2939</v>
      </c>
      <c r="K39" s="2">
        <v>2287</v>
      </c>
      <c r="L39" s="2">
        <v>8903</v>
      </c>
      <c r="M39" s="2">
        <v>7184</v>
      </c>
      <c r="N39" s="6">
        <v>16087</v>
      </c>
      <c r="O39" s="2">
        <v>3414</v>
      </c>
      <c r="P39" s="2">
        <v>5303</v>
      </c>
      <c r="Q39" s="2">
        <v>3218</v>
      </c>
      <c r="R39" s="2">
        <v>2161</v>
      </c>
      <c r="S39" s="2">
        <v>1268</v>
      </c>
      <c r="T39" s="2">
        <v>628</v>
      </c>
    </row>
    <row r="40" spans="1:20" ht="21" x14ac:dyDescent="0.25">
      <c r="A40" s="1" t="s">
        <v>84</v>
      </c>
      <c r="B40" s="1" t="s">
        <v>41</v>
      </c>
      <c r="C40" s="2">
        <v>11472</v>
      </c>
      <c r="D40" s="2">
        <v>10306</v>
      </c>
      <c r="E40" s="6">
        <v>21778</v>
      </c>
      <c r="F40" s="2">
        <v>3368</v>
      </c>
      <c r="G40" s="2">
        <v>7458</v>
      </c>
      <c r="H40" s="2">
        <v>4887</v>
      </c>
      <c r="I40" s="2">
        <v>2847</v>
      </c>
      <c r="J40" s="2">
        <v>1807</v>
      </c>
      <c r="K40" s="2">
        <v>1411</v>
      </c>
      <c r="L40" s="2">
        <v>5154</v>
      </c>
      <c r="M40" s="2">
        <v>3048</v>
      </c>
      <c r="N40" s="6">
        <v>8202</v>
      </c>
      <c r="O40" s="2">
        <v>1509</v>
      </c>
      <c r="P40" s="2">
        <v>2536</v>
      </c>
      <c r="Q40" s="2">
        <v>1935</v>
      </c>
      <c r="R40" s="2">
        <v>1226</v>
      </c>
      <c r="S40" s="2">
        <v>665</v>
      </c>
      <c r="T40" s="2">
        <v>288</v>
      </c>
    </row>
    <row r="41" spans="1:20" ht="21" x14ac:dyDescent="0.25">
      <c r="A41" s="1" t="s">
        <v>84</v>
      </c>
      <c r="B41" s="1" t="s">
        <v>44</v>
      </c>
      <c r="C41" s="2">
        <v>1894</v>
      </c>
      <c r="D41" s="2">
        <v>1970</v>
      </c>
      <c r="E41" s="6">
        <v>3864</v>
      </c>
      <c r="F41" s="2">
        <v>574</v>
      </c>
      <c r="G41" s="2">
        <v>1236</v>
      </c>
      <c r="H41" s="2">
        <v>886</v>
      </c>
      <c r="I41" s="2">
        <v>491</v>
      </c>
      <c r="J41" s="2">
        <v>362</v>
      </c>
      <c r="K41" s="2">
        <v>315</v>
      </c>
      <c r="L41" s="2">
        <v>1019</v>
      </c>
      <c r="M41" s="2">
        <v>693</v>
      </c>
      <c r="N41" s="6">
        <v>1712</v>
      </c>
      <c r="O41" s="2">
        <v>310</v>
      </c>
      <c r="P41" s="2">
        <v>495</v>
      </c>
      <c r="Q41" s="2">
        <v>423</v>
      </c>
      <c r="R41" s="2">
        <v>226</v>
      </c>
      <c r="S41" s="2">
        <v>163</v>
      </c>
      <c r="T41" s="2">
        <v>86</v>
      </c>
    </row>
    <row r="42" spans="1:20" ht="21" x14ac:dyDescent="0.25">
      <c r="A42" s="1" t="s">
        <v>84</v>
      </c>
      <c r="B42" s="1" t="s">
        <v>42</v>
      </c>
      <c r="C42" s="2">
        <v>2777</v>
      </c>
      <c r="D42" s="2">
        <v>2474</v>
      </c>
      <c r="E42" s="6">
        <v>5251</v>
      </c>
      <c r="F42" s="2">
        <v>447</v>
      </c>
      <c r="G42" s="2">
        <v>1846</v>
      </c>
      <c r="H42" s="2">
        <v>1335</v>
      </c>
      <c r="I42" s="2">
        <v>743</v>
      </c>
      <c r="J42" s="2">
        <v>468</v>
      </c>
      <c r="K42" s="2">
        <v>412</v>
      </c>
      <c r="L42" s="2">
        <v>1432</v>
      </c>
      <c r="M42" s="2">
        <v>878</v>
      </c>
      <c r="N42" s="6">
        <v>2310</v>
      </c>
      <c r="O42" s="2">
        <v>349</v>
      </c>
      <c r="P42" s="2">
        <v>749</v>
      </c>
      <c r="Q42" s="2">
        <v>594</v>
      </c>
      <c r="R42" s="2">
        <v>333</v>
      </c>
      <c r="S42" s="2">
        <v>176</v>
      </c>
      <c r="T42" s="2">
        <v>105</v>
      </c>
    </row>
    <row r="43" spans="1:20" ht="21" x14ac:dyDescent="0.25">
      <c r="A43" s="1" t="s">
        <v>84</v>
      </c>
      <c r="B43" s="1" t="s">
        <v>43</v>
      </c>
      <c r="C43" s="2">
        <v>2301</v>
      </c>
      <c r="D43" s="2">
        <v>1988</v>
      </c>
      <c r="E43" s="6">
        <v>4289</v>
      </c>
      <c r="F43" s="2">
        <v>513</v>
      </c>
      <c r="G43" s="2">
        <v>1441</v>
      </c>
      <c r="H43" s="2">
        <v>1102</v>
      </c>
      <c r="I43" s="2">
        <v>602</v>
      </c>
      <c r="J43" s="2">
        <v>369</v>
      </c>
      <c r="K43" s="2">
        <v>262</v>
      </c>
      <c r="L43" s="2">
        <v>1292</v>
      </c>
      <c r="M43" s="2">
        <v>792</v>
      </c>
      <c r="N43" s="6">
        <v>2084</v>
      </c>
      <c r="O43" s="2">
        <v>354</v>
      </c>
      <c r="P43" s="2">
        <v>739</v>
      </c>
      <c r="Q43" s="2">
        <v>463</v>
      </c>
      <c r="R43" s="2">
        <v>312</v>
      </c>
      <c r="S43" s="2">
        <v>160</v>
      </c>
      <c r="T43" s="2">
        <v>52</v>
      </c>
    </row>
    <row r="44" spans="1:20" ht="21" x14ac:dyDescent="0.25">
      <c r="A44" s="1" t="s">
        <v>84</v>
      </c>
      <c r="B44" s="1" t="s">
        <v>46</v>
      </c>
      <c r="C44" s="2">
        <v>14489</v>
      </c>
      <c r="D44" s="2">
        <v>14270</v>
      </c>
      <c r="E44" s="6">
        <v>28759</v>
      </c>
      <c r="F44" s="2">
        <v>4728</v>
      </c>
      <c r="G44" s="2">
        <v>10277</v>
      </c>
      <c r="H44" s="2">
        <v>6603</v>
      </c>
      <c r="I44" s="2">
        <v>3411</v>
      </c>
      <c r="J44" s="2">
        <v>2110</v>
      </c>
      <c r="K44" s="2">
        <v>1630</v>
      </c>
      <c r="L44" s="2">
        <v>7965</v>
      </c>
      <c r="M44" s="2">
        <v>7199</v>
      </c>
      <c r="N44" s="6">
        <v>15164</v>
      </c>
      <c r="O44" s="2">
        <v>3555</v>
      </c>
      <c r="P44" s="2">
        <v>5076</v>
      </c>
      <c r="Q44" s="2">
        <v>3090</v>
      </c>
      <c r="R44" s="2">
        <v>1928</v>
      </c>
      <c r="S44" s="2">
        <v>981</v>
      </c>
      <c r="T44" s="2">
        <v>490</v>
      </c>
    </row>
    <row r="45" spans="1:20" ht="21" x14ac:dyDescent="0.25">
      <c r="A45" s="1" t="s">
        <v>84</v>
      </c>
      <c r="B45" s="1" t="s">
        <v>45</v>
      </c>
      <c r="C45" s="2">
        <v>12795</v>
      </c>
      <c r="D45" s="2">
        <v>13995</v>
      </c>
      <c r="E45" s="6">
        <v>26790</v>
      </c>
      <c r="F45" s="2">
        <v>5696</v>
      </c>
      <c r="G45" s="2">
        <v>9288</v>
      </c>
      <c r="H45" s="2">
        <v>5447</v>
      </c>
      <c r="I45" s="2">
        <v>3024</v>
      </c>
      <c r="J45" s="2">
        <v>1926</v>
      </c>
      <c r="K45" s="2">
        <v>1409</v>
      </c>
      <c r="L45" s="2">
        <v>8210</v>
      </c>
      <c r="M45" s="2">
        <v>8302</v>
      </c>
      <c r="N45" s="6">
        <v>16512</v>
      </c>
      <c r="O45" s="2">
        <v>4398</v>
      </c>
      <c r="P45" s="2">
        <v>5270</v>
      </c>
      <c r="Q45" s="2">
        <v>3051</v>
      </c>
      <c r="R45" s="2">
        <v>2017</v>
      </c>
      <c r="S45" s="2">
        <v>1167</v>
      </c>
      <c r="T45" s="2">
        <v>562</v>
      </c>
    </row>
    <row r="46" spans="1:20" ht="21" x14ac:dyDescent="0.25">
      <c r="A46" s="1" t="s">
        <v>85</v>
      </c>
      <c r="B46" s="1" t="s">
        <v>47</v>
      </c>
      <c r="C46" s="2">
        <v>13688</v>
      </c>
      <c r="D46" s="2">
        <v>11865</v>
      </c>
      <c r="E46" s="6">
        <v>25553</v>
      </c>
      <c r="F46" s="2">
        <v>3737</v>
      </c>
      <c r="G46" s="2">
        <v>8901</v>
      </c>
      <c r="H46" s="2">
        <v>6117</v>
      </c>
      <c r="I46" s="2">
        <v>3423</v>
      </c>
      <c r="J46" s="2">
        <v>1981</v>
      </c>
      <c r="K46" s="2">
        <v>1394</v>
      </c>
      <c r="L46" s="2">
        <v>7193</v>
      </c>
      <c r="M46" s="2">
        <v>5104</v>
      </c>
      <c r="N46" s="6">
        <v>12297</v>
      </c>
      <c r="O46" s="2">
        <v>2456</v>
      </c>
      <c r="P46" s="2">
        <v>4200</v>
      </c>
      <c r="Q46" s="2">
        <v>2819</v>
      </c>
      <c r="R46" s="2">
        <v>1644</v>
      </c>
      <c r="S46" s="2">
        <v>799</v>
      </c>
      <c r="T46" s="2">
        <v>317</v>
      </c>
    </row>
    <row r="47" spans="1:20" ht="21" x14ac:dyDescent="0.25">
      <c r="A47" s="1" t="s">
        <v>85</v>
      </c>
      <c r="B47" s="1" t="s">
        <v>48</v>
      </c>
      <c r="C47" s="2">
        <v>5025</v>
      </c>
      <c r="D47" s="2">
        <v>4798</v>
      </c>
      <c r="E47" s="6">
        <v>9823</v>
      </c>
      <c r="F47" s="2">
        <v>1734</v>
      </c>
      <c r="G47" s="2">
        <v>3264</v>
      </c>
      <c r="H47" s="2">
        <v>2233</v>
      </c>
      <c r="I47" s="2">
        <v>1162</v>
      </c>
      <c r="J47" s="2">
        <v>772</v>
      </c>
      <c r="K47" s="2">
        <v>658</v>
      </c>
      <c r="L47" s="2">
        <v>2764</v>
      </c>
      <c r="M47" s="2">
        <v>1958</v>
      </c>
      <c r="N47" s="6">
        <v>4722</v>
      </c>
      <c r="O47" s="2">
        <v>1051</v>
      </c>
      <c r="P47" s="2">
        <v>1530</v>
      </c>
      <c r="Q47" s="2">
        <v>1014</v>
      </c>
      <c r="R47" s="2">
        <v>597</v>
      </c>
      <c r="S47" s="2">
        <v>306</v>
      </c>
      <c r="T47" s="2">
        <v>145</v>
      </c>
    </row>
    <row r="48" spans="1:20" ht="21" x14ac:dyDescent="0.25">
      <c r="A48" s="1" t="s">
        <v>85</v>
      </c>
      <c r="B48" s="1" t="s">
        <v>50</v>
      </c>
      <c r="C48" s="2">
        <v>6323</v>
      </c>
      <c r="D48" s="2">
        <v>5778</v>
      </c>
      <c r="E48" s="6">
        <v>12101</v>
      </c>
      <c r="F48" s="2">
        <v>2531</v>
      </c>
      <c r="G48" s="2">
        <v>4055</v>
      </c>
      <c r="H48" s="2">
        <v>2393</v>
      </c>
      <c r="I48" s="2">
        <v>1412</v>
      </c>
      <c r="J48" s="2">
        <v>917</v>
      </c>
      <c r="K48" s="2">
        <v>793</v>
      </c>
      <c r="L48" s="2">
        <v>4171</v>
      </c>
      <c r="M48" s="2">
        <v>3479</v>
      </c>
      <c r="N48" s="6">
        <v>7650</v>
      </c>
      <c r="O48" s="2">
        <v>1846</v>
      </c>
      <c r="P48" s="2">
        <v>2440</v>
      </c>
      <c r="Q48" s="2">
        <v>1374</v>
      </c>
      <c r="R48" s="2">
        <v>956</v>
      </c>
      <c r="S48" s="2">
        <v>533</v>
      </c>
      <c r="T48" s="2">
        <v>328</v>
      </c>
    </row>
    <row r="49" spans="1:20" ht="21" x14ac:dyDescent="0.25">
      <c r="A49" s="1" t="s">
        <v>85</v>
      </c>
      <c r="B49" s="1" t="s">
        <v>49</v>
      </c>
      <c r="C49" s="2">
        <v>12435</v>
      </c>
      <c r="D49" s="2">
        <v>10261</v>
      </c>
      <c r="E49" s="6">
        <v>22696</v>
      </c>
      <c r="F49" s="2">
        <v>4836</v>
      </c>
      <c r="G49" s="2">
        <v>7764</v>
      </c>
      <c r="H49" s="2">
        <v>4426</v>
      </c>
      <c r="I49" s="2">
        <v>2546</v>
      </c>
      <c r="J49" s="2">
        <v>1850</v>
      </c>
      <c r="K49" s="2">
        <v>1274</v>
      </c>
      <c r="L49" s="2">
        <v>7683</v>
      </c>
      <c r="M49" s="2">
        <v>5445</v>
      </c>
      <c r="N49" s="6">
        <v>13128</v>
      </c>
      <c r="O49" s="2">
        <v>3090</v>
      </c>
      <c r="P49" s="2">
        <v>4150</v>
      </c>
      <c r="Q49" s="2">
        <v>2484</v>
      </c>
      <c r="R49" s="2">
        <v>1557</v>
      </c>
      <c r="S49" s="2">
        <v>972</v>
      </c>
      <c r="T49" s="2">
        <v>404</v>
      </c>
    </row>
    <row r="50" spans="1:20" ht="21" x14ac:dyDescent="0.25">
      <c r="A50" s="1" t="s">
        <v>85</v>
      </c>
      <c r="B50" s="1" t="s">
        <v>51</v>
      </c>
      <c r="C50" s="2">
        <v>1623</v>
      </c>
      <c r="D50" s="2">
        <v>1919</v>
      </c>
      <c r="E50" s="6">
        <v>3542</v>
      </c>
      <c r="F50" s="2">
        <v>691</v>
      </c>
      <c r="G50" s="2">
        <v>1197</v>
      </c>
      <c r="H50" s="2">
        <v>780</v>
      </c>
      <c r="I50" s="2">
        <v>407</v>
      </c>
      <c r="J50" s="2">
        <v>285</v>
      </c>
      <c r="K50" s="2">
        <v>182</v>
      </c>
      <c r="L50" s="2">
        <v>1225</v>
      </c>
      <c r="M50" s="2">
        <v>1421</v>
      </c>
      <c r="N50" s="6">
        <v>2646</v>
      </c>
      <c r="O50" s="2">
        <v>606</v>
      </c>
      <c r="P50" s="2">
        <v>882</v>
      </c>
      <c r="Q50" s="2">
        <v>508</v>
      </c>
      <c r="R50" s="2">
        <v>320</v>
      </c>
      <c r="S50" s="2">
        <v>197</v>
      </c>
      <c r="T50" s="2">
        <v>98</v>
      </c>
    </row>
    <row r="51" spans="1:20" ht="21" x14ac:dyDescent="0.25">
      <c r="A51" s="1" t="s">
        <v>52</v>
      </c>
      <c r="B51" s="1" t="s">
        <v>53</v>
      </c>
      <c r="C51" s="2">
        <v>5386</v>
      </c>
      <c r="D51" s="2">
        <v>4842</v>
      </c>
      <c r="E51" s="6">
        <v>10228</v>
      </c>
      <c r="F51" s="2">
        <v>1640</v>
      </c>
      <c r="G51" s="2">
        <v>3442</v>
      </c>
      <c r="H51" s="2">
        <v>2397</v>
      </c>
      <c r="I51" s="2">
        <v>1247</v>
      </c>
      <c r="J51" s="2">
        <v>878</v>
      </c>
      <c r="K51" s="2">
        <v>624</v>
      </c>
      <c r="L51" s="2">
        <v>3078</v>
      </c>
      <c r="M51" s="2">
        <v>2252</v>
      </c>
      <c r="N51" s="6">
        <v>5330</v>
      </c>
      <c r="O51" s="2">
        <v>1120</v>
      </c>
      <c r="P51" s="2">
        <v>1711</v>
      </c>
      <c r="Q51" s="2">
        <v>1179</v>
      </c>
      <c r="R51" s="2">
        <v>656</v>
      </c>
      <c r="S51" s="2">
        <v>368</v>
      </c>
      <c r="T51" s="2">
        <v>204</v>
      </c>
    </row>
    <row r="52" spans="1:20" ht="21" x14ac:dyDescent="0.25">
      <c r="A52" s="1" t="s">
        <v>52</v>
      </c>
      <c r="B52" s="1" t="s">
        <v>56</v>
      </c>
      <c r="C52" s="2">
        <v>12758</v>
      </c>
      <c r="D52" s="2">
        <v>11583</v>
      </c>
      <c r="E52" s="6">
        <v>24341</v>
      </c>
      <c r="F52" s="2">
        <v>4202</v>
      </c>
      <c r="G52" s="2">
        <v>8243</v>
      </c>
      <c r="H52" s="2">
        <v>5185</v>
      </c>
      <c r="I52" s="2">
        <v>2962</v>
      </c>
      <c r="J52" s="2">
        <v>2022</v>
      </c>
      <c r="K52" s="2">
        <v>1727</v>
      </c>
      <c r="L52" s="2">
        <v>6644</v>
      </c>
      <c r="M52" s="2">
        <v>4942</v>
      </c>
      <c r="N52" s="6">
        <v>11586</v>
      </c>
      <c r="O52" s="2">
        <v>2682</v>
      </c>
      <c r="P52" s="2">
        <v>3564</v>
      </c>
      <c r="Q52" s="2">
        <v>2323</v>
      </c>
      <c r="R52" s="2">
        <v>1428</v>
      </c>
      <c r="S52" s="2">
        <v>843</v>
      </c>
      <c r="T52" s="2">
        <v>487</v>
      </c>
    </row>
    <row r="53" spans="1:20" ht="21" x14ac:dyDescent="0.25">
      <c r="A53" s="1" t="s">
        <v>52</v>
      </c>
      <c r="B53" s="1" t="s">
        <v>54</v>
      </c>
      <c r="C53" s="2">
        <v>3892</v>
      </c>
      <c r="D53" s="2">
        <v>3507</v>
      </c>
      <c r="E53" s="6">
        <v>7399</v>
      </c>
      <c r="F53" s="2">
        <v>986</v>
      </c>
      <c r="G53" s="2">
        <v>2435</v>
      </c>
      <c r="H53" s="2">
        <v>1709</v>
      </c>
      <c r="I53" s="2">
        <v>1041</v>
      </c>
      <c r="J53" s="2">
        <v>610</v>
      </c>
      <c r="K53" s="2">
        <v>618</v>
      </c>
      <c r="L53" s="2">
        <v>2129</v>
      </c>
      <c r="M53" s="2">
        <v>1728</v>
      </c>
      <c r="N53" s="6">
        <v>3857</v>
      </c>
      <c r="O53" s="2">
        <v>714</v>
      </c>
      <c r="P53" s="2">
        <v>1256</v>
      </c>
      <c r="Q53" s="2">
        <v>848</v>
      </c>
      <c r="R53" s="2">
        <v>576</v>
      </c>
      <c r="S53" s="2">
        <v>260</v>
      </c>
      <c r="T53" s="2">
        <v>172</v>
      </c>
    </row>
    <row r="54" spans="1:20" ht="21" x14ac:dyDescent="0.25">
      <c r="A54" s="1" t="s">
        <v>52</v>
      </c>
      <c r="B54" s="1" t="s">
        <v>55</v>
      </c>
      <c r="C54" s="2">
        <v>3840</v>
      </c>
      <c r="D54" s="2">
        <v>3540</v>
      </c>
      <c r="E54" s="6">
        <v>7380</v>
      </c>
      <c r="F54" s="2">
        <v>1110</v>
      </c>
      <c r="G54" s="2">
        <v>2405</v>
      </c>
      <c r="H54" s="2">
        <v>1636</v>
      </c>
      <c r="I54" s="2">
        <v>977</v>
      </c>
      <c r="J54" s="2">
        <v>651</v>
      </c>
      <c r="K54" s="2">
        <v>601</v>
      </c>
      <c r="L54" s="2">
        <v>2284</v>
      </c>
      <c r="M54" s="2">
        <v>1762</v>
      </c>
      <c r="N54" s="6">
        <v>4046</v>
      </c>
      <c r="O54" s="2">
        <v>848</v>
      </c>
      <c r="P54" s="2">
        <v>1281</v>
      </c>
      <c r="Q54" s="2">
        <v>790</v>
      </c>
      <c r="R54" s="2">
        <v>545</v>
      </c>
      <c r="S54" s="2">
        <v>341</v>
      </c>
      <c r="T54" s="2">
        <v>177</v>
      </c>
    </row>
    <row r="55" spans="1:20" ht="21" x14ac:dyDescent="0.25">
      <c r="A55" s="1" t="s">
        <v>52</v>
      </c>
      <c r="B55" s="1" t="s">
        <v>58</v>
      </c>
      <c r="C55" s="2">
        <v>2243</v>
      </c>
      <c r="D55" s="2">
        <v>2282</v>
      </c>
      <c r="E55" s="6">
        <v>4525</v>
      </c>
      <c r="F55" s="2">
        <v>733</v>
      </c>
      <c r="G55" s="2">
        <v>1638</v>
      </c>
      <c r="H55" s="2">
        <v>873</v>
      </c>
      <c r="I55" s="2">
        <v>518</v>
      </c>
      <c r="J55" s="2">
        <v>387</v>
      </c>
      <c r="K55" s="2">
        <v>376</v>
      </c>
      <c r="L55" s="2">
        <v>1319</v>
      </c>
      <c r="M55" s="2">
        <v>1100</v>
      </c>
      <c r="N55" s="6">
        <v>2419</v>
      </c>
      <c r="O55" s="2">
        <v>525</v>
      </c>
      <c r="P55" s="2">
        <v>769</v>
      </c>
      <c r="Q55" s="2">
        <v>428</v>
      </c>
      <c r="R55" s="2">
        <v>324</v>
      </c>
      <c r="S55" s="2">
        <v>202</v>
      </c>
      <c r="T55" s="2">
        <v>142</v>
      </c>
    </row>
    <row r="56" spans="1:20" ht="21" x14ac:dyDescent="0.25">
      <c r="A56" s="1" t="s">
        <v>52</v>
      </c>
      <c r="B56" s="1" t="s">
        <v>57</v>
      </c>
      <c r="C56" s="2">
        <v>3828</v>
      </c>
      <c r="D56" s="2">
        <v>3784</v>
      </c>
      <c r="E56" s="6">
        <v>7612</v>
      </c>
      <c r="F56" s="2">
        <v>1319</v>
      </c>
      <c r="G56" s="2">
        <v>2579</v>
      </c>
      <c r="H56" s="2">
        <v>1600</v>
      </c>
      <c r="I56" s="2">
        <v>920</v>
      </c>
      <c r="J56" s="2">
        <v>629</v>
      </c>
      <c r="K56" s="2">
        <v>565</v>
      </c>
      <c r="L56" s="2">
        <v>1988</v>
      </c>
      <c r="M56" s="2">
        <v>1521</v>
      </c>
      <c r="N56" s="6">
        <v>3509</v>
      </c>
      <c r="O56" s="2">
        <v>727</v>
      </c>
      <c r="P56" s="2">
        <v>1071</v>
      </c>
      <c r="Q56" s="2">
        <v>701</v>
      </c>
      <c r="R56" s="2">
        <v>472</v>
      </c>
      <c r="S56" s="2">
        <v>297</v>
      </c>
      <c r="T56" s="2">
        <v>212</v>
      </c>
    </row>
    <row r="57" spans="1:20" ht="21" x14ac:dyDescent="0.25">
      <c r="A57" s="1" t="s">
        <v>59</v>
      </c>
      <c r="B57" s="1" t="s">
        <v>60</v>
      </c>
      <c r="C57" s="2">
        <v>14761</v>
      </c>
      <c r="D57" s="2">
        <v>12148</v>
      </c>
      <c r="E57" s="6">
        <v>26909</v>
      </c>
      <c r="F57" s="2">
        <v>3203</v>
      </c>
      <c r="G57" s="2">
        <v>9367</v>
      </c>
      <c r="H57" s="2">
        <v>6509</v>
      </c>
      <c r="I57" s="2">
        <v>3384</v>
      </c>
      <c r="J57" s="2">
        <v>2541</v>
      </c>
      <c r="K57" s="2">
        <v>1905</v>
      </c>
      <c r="L57" s="2">
        <v>6368</v>
      </c>
      <c r="M57" s="2">
        <v>4040</v>
      </c>
      <c r="N57" s="6">
        <v>10408</v>
      </c>
      <c r="O57" s="2">
        <v>1625</v>
      </c>
      <c r="P57" s="2">
        <v>3144</v>
      </c>
      <c r="Q57" s="2">
        <v>2543</v>
      </c>
      <c r="R57" s="2">
        <v>1526</v>
      </c>
      <c r="S57" s="2">
        <v>941</v>
      </c>
      <c r="T57" s="2">
        <v>508</v>
      </c>
    </row>
    <row r="58" spans="1:20" ht="21" x14ac:dyDescent="0.25">
      <c r="A58" s="1" t="s">
        <v>59</v>
      </c>
      <c r="B58" s="1" t="s">
        <v>61</v>
      </c>
      <c r="C58" s="2">
        <v>2816</v>
      </c>
      <c r="D58" s="2">
        <v>2279</v>
      </c>
      <c r="E58" s="6">
        <v>5095</v>
      </c>
      <c r="F58" s="2">
        <v>736</v>
      </c>
      <c r="G58" s="2">
        <v>1683</v>
      </c>
      <c r="H58" s="2">
        <v>1144</v>
      </c>
      <c r="I58" s="2">
        <v>636</v>
      </c>
      <c r="J58" s="2">
        <v>469</v>
      </c>
      <c r="K58" s="2">
        <v>427</v>
      </c>
      <c r="L58" s="2">
        <v>1420</v>
      </c>
      <c r="M58" s="2">
        <v>877</v>
      </c>
      <c r="N58" s="6">
        <v>2297</v>
      </c>
      <c r="O58" s="2">
        <v>399</v>
      </c>
      <c r="P58" s="2">
        <v>656</v>
      </c>
      <c r="Q58" s="2">
        <v>500</v>
      </c>
      <c r="R58" s="2">
        <v>340</v>
      </c>
      <c r="S58" s="2">
        <v>254</v>
      </c>
      <c r="T58" s="2">
        <v>134</v>
      </c>
    </row>
    <row r="59" spans="1:20" ht="21" x14ac:dyDescent="0.25">
      <c r="A59" s="1" t="s">
        <v>59</v>
      </c>
      <c r="B59" s="1" t="s">
        <v>62</v>
      </c>
      <c r="C59" s="2">
        <v>3172</v>
      </c>
      <c r="D59" s="2">
        <v>3231</v>
      </c>
      <c r="E59" s="6">
        <v>6403</v>
      </c>
      <c r="F59" s="2">
        <v>387</v>
      </c>
      <c r="G59" s="2">
        <v>2092</v>
      </c>
      <c r="H59" s="2">
        <v>1758</v>
      </c>
      <c r="I59" s="2">
        <v>906</v>
      </c>
      <c r="J59" s="2">
        <v>614</v>
      </c>
      <c r="K59" s="2">
        <v>646</v>
      </c>
      <c r="L59" s="2">
        <v>1507</v>
      </c>
      <c r="M59" s="2">
        <v>1051</v>
      </c>
      <c r="N59" s="6">
        <v>2558</v>
      </c>
      <c r="O59" s="2">
        <v>239</v>
      </c>
      <c r="P59" s="2">
        <v>705</v>
      </c>
      <c r="Q59" s="2">
        <v>640</v>
      </c>
      <c r="R59" s="2">
        <v>476</v>
      </c>
      <c r="S59" s="2">
        <v>286</v>
      </c>
      <c r="T59" s="2">
        <v>198</v>
      </c>
    </row>
    <row r="60" spans="1:20" ht="21" x14ac:dyDescent="0.25">
      <c r="A60" s="1" t="s">
        <v>63</v>
      </c>
      <c r="B60" s="1" t="s">
        <v>64</v>
      </c>
      <c r="C60" s="2">
        <v>808</v>
      </c>
      <c r="D60" s="2">
        <v>743</v>
      </c>
      <c r="E60" s="6">
        <v>1551</v>
      </c>
      <c r="F60" s="2">
        <v>483</v>
      </c>
      <c r="G60" s="2">
        <v>517</v>
      </c>
      <c r="H60" s="2">
        <v>204</v>
      </c>
      <c r="I60" s="2">
        <v>141</v>
      </c>
      <c r="J60" s="2">
        <v>118</v>
      </c>
      <c r="K60" s="2">
        <v>88</v>
      </c>
      <c r="L60" s="2">
        <v>773</v>
      </c>
      <c r="M60" s="2">
        <v>680</v>
      </c>
      <c r="N60" s="6">
        <v>1453</v>
      </c>
      <c r="O60" s="2">
        <v>896</v>
      </c>
      <c r="P60" s="2">
        <v>1019</v>
      </c>
      <c r="Q60" s="2">
        <v>369</v>
      </c>
      <c r="R60" s="2">
        <v>188</v>
      </c>
      <c r="S60" s="2">
        <v>102</v>
      </c>
      <c r="T60" s="2">
        <v>60</v>
      </c>
    </row>
    <row r="61" spans="1:20" ht="21" x14ac:dyDescent="0.25">
      <c r="A61" s="1" t="s">
        <v>63</v>
      </c>
      <c r="B61" s="1" t="s">
        <v>65</v>
      </c>
      <c r="C61" s="2">
        <v>3087</v>
      </c>
      <c r="D61" s="2">
        <v>2795</v>
      </c>
      <c r="E61" s="6">
        <v>5882</v>
      </c>
      <c r="F61" s="2">
        <v>1507</v>
      </c>
      <c r="G61" s="2">
        <v>1745</v>
      </c>
      <c r="H61" s="2">
        <v>938</v>
      </c>
      <c r="I61" s="2">
        <v>627</v>
      </c>
      <c r="J61" s="2">
        <v>446</v>
      </c>
      <c r="K61" s="2">
        <v>619</v>
      </c>
      <c r="L61" s="2">
        <v>2363</v>
      </c>
      <c r="M61" s="2">
        <v>2017</v>
      </c>
      <c r="N61" s="6">
        <v>4380</v>
      </c>
      <c r="O61" s="2">
        <v>1336</v>
      </c>
      <c r="P61" s="2">
        <v>1291</v>
      </c>
      <c r="Q61" s="2">
        <v>696</v>
      </c>
      <c r="R61" s="2">
        <v>453</v>
      </c>
      <c r="S61" s="2">
        <v>315</v>
      </c>
      <c r="T61" s="2">
        <v>249</v>
      </c>
    </row>
    <row r="62" spans="1:20" ht="21" x14ac:dyDescent="0.25">
      <c r="A62" s="1" t="s">
        <v>63</v>
      </c>
      <c r="B62" s="1" t="s">
        <v>66</v>
      </c>
      <c r="C62" s="2">
        <v>1567</v>
      </c>
      <c r="D62" s="2">
        <v>1499</v>
      </c>
      <c r="E62" s="6">
        <v>3066</v>
      </c>
      <c r="F62" s="2">
        <v>946</v>
      </c>
      <c r="G62" s="2">
        <v>996</v>
      </c>
      <c r="H62" s="2">
        <v>442</v>
      </c>
      <c r="I62" s="2">
        <v>303</v>
      </c>
      <c r="J62" s="2">
        <v>206</v>
      </c>
      <c r="K62" s="2">
        <v>173</v>
      </c>
      <c r="L62" s="2">
        <v>1284</v>
      </c>
      <c r="M62" s="2">
        <v>1299</v>
      </c>
      <c r="N62" s="6">
        <v>2583</v>
      </c>
      <c r="O62" s="2">
        <v>818</v>
      </c>
      <c r="P62" s="2">
        <v>646</v>
      </c>
      <c r="Q62" s="2">
        <v>327</v>
      </c>
      <c r="R62" s="2">
        <v>226</v>
      </c>
      <c r="S62" s="2">
        <v>143</v>
      </c>
      <c r="T62" s="2">
        <v>80</v>
      </c>
    </row>
    <row r="63" spans="1:20" ht="21" x14ac:dyDescent="0.25">
      <c r="A63" s="1" t="s">
        <v>63</v>
      </c>
      <c r="B63" s="1" t="s">
        <v>67</v>
      </c>
      <c r="C63" s="2">
        <v>889</v>
      </c>
      <c r="D63" s="2">
        <v>853</v>
      </c>
      <c r="E63" s="6">
        <v>1742</v>
      </c>
      <c r="F63" s="2">
        <v>482</v>
      </c>
      <c r="G63" s="2">
        <v>598</v>
      </c>
      <c r="H63" s="2">
        <v>238</v>
      </c>
      <c r="I63" s="2">
        <v>195</v>
      </c>
      <c r="J63" s="2">
        <v>109</v>
      </c>
      <c r="K63" s="2">
        <v>120</v>
      </c>
      <c r="L63" s="2">
        <v>802</v>
      </c>
      <c r="M63" s="2">
        <v>743</v>
      </c>
      <c r="N63" s="6">
        <v>1545</v>
      </c>
      <c r="O63" s="2">
        <v>455</v>
      </c>
      <c r="P63" s="2">
        <v>449</v>
      </c>
      <c r="Q63" s="2">
        <v>197</v>
      </c>
      <c r="R63" s="2">
        <v>158</v>
      </c>
      <c r="S63" s="2">
        <v>86</v>
      </c>
      <c r="T63" s="2">
        <v>70</v>
      </c>
    </row>
    <row r="64" spans="1:20" ht="21" x14ac:dyDescent="0.25">
      <c r="A64" s="24" t="s">
        <v>86</v>
      </c>
      <c r="B64" s="25"/>
      <c r="C64" s="4">
        <f>SUM(C3:C63)</f>
        <v>375717</v>
      </c>
      <c r="D64" s="4">
        <f t="shared" ref="D64:N64" si="0">SUM(D3:D63)</f>
        <v>337618</v>
      </c>
      <c r="E64" s="6">
        <f t="shared" si="0"/>
        <v>713335</v>
      </c>
      <c r="F64" s="4">
        <f t="shared" si="0"/>
        <v>110341</v>
      </c>
      <c r="G64" s="4">
        <f t="shared" si="0"/>
        <v>248894</v>
      </c>
      <c r="H64" s="4">
        <f t="shared" si="0"/>
        <v>162588</v>
      </c>
      <c r="I64" s="4">
        <f t="shared" si="0"/>
        <v>89915</v>
      </c>
      <c r="J64" s="4">
        <f t="shared" si="0"/>
        <v>58371</v>
      </c>
      <c r="K64" s="4">
        <f t="shared" si="0"/>
        <v>43226</v>
      </c>
      <c r="L64" s="4">
        <f t="shared" si="0"/>
        <v>196888</v>
      </c>
      <c r="M64" s="4">
        <f t="shared" si="0"/>
        <v>152031</v>
      </c>
      <c r="N64" s="6">
        <f t="shared" si="0"/>
        <v>348919</v>
      </c>
      <c r="O64" s="4">
        <v>77023</v>
      </c>
      <c r="P64" s="4">
        <v>115626</v>
      </c>
      <c r="Q64" s="4">
        <v>72436</v>
      </c>
      <c r="R64" s="4">
        <v>45748</v>
      </c>
      <c r="S64" s="4">
        <v>25566</v>
      </c>
      <c r="T64" s="4">
        <v>12520</v>
      </c>
    </row>
  </sheetData>
  <mergeCells count="7">
    <mergeCell ref="O1:T1"/>
    <mergeCell ref="A64:B64"/>
    <mergeCell ref="B1:B2"/>
    <mergeCell ref="C1:E1"/>
    <mergeCell ref="L1:N1"/>
    <mergeCell ref="F1:K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rightToLeft="1" tabSelected="1" workbookViewId="0">
      <selection activeCell="B4" sqref="B4"/>
    </sheetView>
  </sheetViews>
  <sheetFormatPr defaultRowHeight="15" x14ac:dyDescent="0.25"/>
  <cols>
    <col min="1" max="1" width="32.85546875" customWidth="1"/>
    <col min="2" max="2" width="55.7109375" customWidth="1"/>
  </cols>
  <sheetData>
    <row r="1" spans="1:2" ht="15.75" x14ac:dyDescent="0.25">
      <c r="A1" s="7" t="s">
        <v>89</v>
      </c>
      <c r="B1" s="8" t="s">
        <v>90</v>
      </c>
    </row>
    <row r="2" spans="1:2" ht="15.75" x14ac:dyDescent="0.25">
      <c r="A2" s="9" t="s">
        <v>91</v>
      </c>
      <c r="B2" s="10" t="s">
        <v>114</v>
      </c>
    </row>
    <row r="3" spans="1:2" ht="15.75" x14ac:dyDescent="0.25">
      <c r="A3" s="11" t="s">
        <v>92</v>
      </c>
      <c r="B3" s="12" t="s">
        <v>93</v>
      </c>
    </row>
    <row r="4" spans="1:2" ht="15.75" x14ac:dyDescent="0.25">
      <c r="A4" s="9" t="s">
        <v>94</v>
      </c>
      <c r="B4" s="10" t="s">
        <v>115</v>
      </c>
    </row>
    <row r="5" spans="1:2" ht="15.75" x14ac:dyDescent="0.25">
      <c r="A5" s="11" t="s">
        <v>95</v>
      </c>
      <c r="B5" s="13">
        <v>45778</v>
      </c>
    </row>
    <row r="6" spans="1:2" ht="15.75" x14ac:dyDescent="0.25">
      <c r="A6" s="9" t="s">
        <v>96</v>
      </c>
      <c r="B6" s="14" t="s">
        <v>97</v>
      </c>
    </row>
    <row r="7" spans="1:2" ht="15.75" x14ac:dyDescent="0.25">
      <c r="A7" s="11" t="s">
        <v>98</v>
      </c>
      <c r="B7" s="15" t="s">
        <v>99</v>
      </c>
    </row>
    <row r="8" spans="1:2" ht="15.75" x14ac:dyDescent="0.25">
      <c r="A8" s="16" t="s">
        <v>100</v>
      </c>
      <c r="B8" s="22">
        <v>2019</v>
      </c>
    </row>
    <row r="9" spans="1:2" ht="15.75" x14ac:dyDescent="0.25">
      <c r="A9" s="11" t="s">
        <v>101</v>
      </c>
      <c r="B9" s="12" t="s">
        <v>93</v>
      </c>
    </row>
    <row r="10" spans="1:2" ht="15.75" x14ac:dyDescent="0.25">
      <c r="A10" s="9" t="s">
        <v>102</v>
      </c>
      <c r="B10" s="10" t="s">
        <v>103</v>
      </c>
    </row>
    <row r="11" spans="1:2" ht="15.75" x14ac:dyDescent="0.25">
      <c r="A11" s="17" t="s">
        <v>104</v>
      </c>
      <c r="B11" s="18" t="s">
        <v>105</v>
      </c>
    </row>
    <row r="12" spans="1:2" ht="15.75" x14ac:dyDescent="0.25">
      <c r="A12" s="17" t="s">
        <v>106</v>
      </c>
      <c r="B12" s="18"/>
    </row>
    <row r="13" spans="1:2" ht="15.75" x14ac:dyDescent="0.25">
      <c r="A13" s="19" t="s">
        <v>107</v>
      </c>
      <c r="B13" s="20">
        <v>24686000</v>
      </c>
    </row>
    <row r="14" spans="1:2" ht="15.75" x14ac:dyDescent="0.25">
      <c r="A14" s="17" t="s">
        <v>108</v>
      </c>
      <c r="B14" s="18" t="s">
        <v>109</v>
      </c>
    </row>
    <row r="15" spans="1:2" ht="15.75" x14ac:dyDescent="0.25">
      <c r="A15" s="19" t="s">
        <v>110</v>
      </c>
      <c r="B15" s="10" t="s">
        <v>111</v>
      </c>
    </row>
    <row r="16" spans="1:2" ht="15.75" x14ac:dyDescent="0.25">
      <c r="A16" s="21" t="s">
        <v>112</v>
      </c>
      <c r="B16" s="18" t="s">
        <v>113</v>
      </c>
    </row>
  </sheetData>
  <hyperlinks>
    <hyperlink ref="B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2109-009-Shura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نصار تازناتيل</dc:creator>
  <cp:lastModifiedBy>mmhinai</cp:lastModifiedBy>
  <dcterms:created xsi:type="dcterms:W3CDTF">2024-09-10T08:41:35Z</dcterms:created>
  <dcterms:modified xsi:type="dcterms:W3CDTF">2025-04-15T07:35:57Z</dcterms:modified>
</cp:coreProperties>
</file>