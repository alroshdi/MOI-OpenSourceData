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hinai\Desktop\دائرة الشؤون الانتخابية\البيانات المفتوحة\البلدي\"/>
    </mc:Choice>
  </mc:AlternateContent>
  <bookViews>
    <workbookView xWindow="0" yWindow="0" windowWidth="24000" windowHeight="9615" activeTab="1"/>
  </bookViews>
  <sheets>
    <sheet name="2016-M02" sheetId="1" r:id="rId1"/>
    <sheet name="Meta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4" i="1" l="1"/>
  <c r="D64" i="1"/>
  <c r="E64" i="1"/>
  <c r="F64" i="1"/>
  <c r="G64" i="1"/>
  <c r="H64" i="1"/>
  <c r="I64" i="1"/>
  <c r="J64" i="1"/>
  <c r="K64" i="1"/>
  <c r="L64" i="1"/>
  <c r="M64" i="1"/>
  <c r="C64" i="1"/>
</calcChain>
</file>

<file path=xl/sharedStrings.xml><?xml version="1.0" encoding="utf-8"?>
<sst xmlns="http://schemas.openxmlformats.org/spreadsheetml/2006/main" count="175" uniqueCount="115">
  <si>
    <t>الإجمالي</t>
  </si>
  <si>
    <t>الجازر</t>
  </si>
  <si>
    <t>محافظة الوسطى</t>
  </si>
  <si>
    <t>الدقم</t>
  </si>
  <si>
    <t>محوت</t>
  </si>
  <si>
    <t>هيماء</t>
  </si>
  <si>
    <t>ضنك</t>
  </si>
  <si>
    <t>محافظة الظاهرة</t>
  </si>
  <si>
    <t>ينقل</t>
  </si>
  <si>
    <t>عبري</t>
  </si>
  <si>
    <t>دماء والطائيين</t>
  </si>
  <si>
    <t>محافظة شمال الشرقية</t>
  </si>
  <si>
    <t>وادي بني خالد</t>
  </si>
  <si>
    <t>القابل</t>
  </si>
  <si>
    <t>بدية</t>
  </si>
  <si>
    <t>المضيبي</t>
  </si>
  <si>
    <t>إبراء</t>
  </si>
  <si>
    <t>مصيرة</t>
  </si>
  <si>
    <t>محافظة جنوب الشرقية</t>
  </si>
  <si>
    <t>جعلان بني بو علي</t>
  </si>
  <si>
    <t>جعلان بني بو حسن</t>
  </si>
  <si>
    <t>الكامل والوافي</t>
  </si>
  <si>
    <t>صور</t>
  </si>
  <si>
    <t>المصنعة</t>
  </si>
  <si>
    <t>محافظة جنوب الباطنة</t>
  </si>
  <si>
    <t>بركاء</t>
  </si>
  <si>
    <t>وادي المعاول</t>
  </si>
  <si>
    <t>نخل</t>
  </si>
  <si>
    <t>العوابي</t>
  </si>
  <si>
    <t>الرستاق</t>
  </si>
  <si>
    <t>السويق</t>
  </si>
  <si>
    <t>محافظة شمال الباطنة</t>
  </si>
  <si>
    <t>الخابورة</t>
  </si>
  <si>
    <t>صحم</t>
  </si>
  <si>
    <t>لوى</t>
  </si>
  <si>
    <t>شناص</t>
  </si>
  <si>
    <t>صحار</t>
  </si>
  <si>
    <t>بدبد</t>
  </si>
  <si>
    <t>محافظة الداخلية</t>
  </si>
  <si>
    <t>سمائل</t>
  </si>
  <si>
    <t>إزكي</t>
  </si>
  <si>
    <t>أدم</t>
  </si>
  <si>
    <t>الحمراء</t>
  </si>
  <si>
    <t>منح</t>
  </si>
  <si>
    <t>بهلاء</t>
  </si>
  <si>
    <t>نزوى</t>
  </si>
  <si>
    <t>السنينة</t>
  </si>
  <si>
    <t>محافظة البريمي</t>
  </si>
  <si>
    <t>محضة</t>
  </si>
  <si>
    <t>البريمي</t>
  </si>
  <si>
    <t>مدحاء</t>
  </si>
  <si>
    <t>محافظة مسندم</t>
  </si>
  <si>
    <t>بخاء</t>
  </si>
  <si>
    <t>دبا</t>
  </si>
  <si>
    <t>خصب</t>
  </si>
  <si>
    <t>سدح</t>
  </si>
  <si>
    <t>محافظة ظفار</t>
  </si>
  <si>
    <t>شليم وجزر الحلانيات</t>
  </si>
  <si>
    <t>مقشن</t>
  </si>
  <si>
    <t>المزيونة</t>
  </si>
  <si>
    <t>ضلكوت</t>
  </si>
  <si>
    <t>ثمريت</t>
  </si>
  <si>
    <t>رخيوت</t>
  </si>
  <si>
    <t>مرباط</t>
  </si>
  <si>
    <t>طاقة</t>
  </si>
  <si>
    <t>صلالة</t>
  </si>
  <si>
    <t>قريات</t>
  </si>
  <si>
    <t>محافظة مسقط</t>
  </si>
  <si>
    <t>السـيب</t>
  </si>
  <si>
    <t>بوشـر</t>
  </si>
  <si>
    <t>العامـرات</t>
  </si>
  <si>
    <t>مـطرح</t>
  </si>
  <si>
    <t>مسـقط</t>
  </si>
  <si>
    <t>أكبر من 70 سنة</t>
  </si>
  <si>
    <t>من 60 إلى 69 سنة</t>
  </si>
  <si>
    <t>من 50 إلى 59 سنة</t>
  </si>
  <si>
    <t>من 40 إلى 49 سنة</t>
  </si>
  <si>
    <t>من 30 إلى 39 سنة</t>
  </si>
  <si>
    <t>أصغر من 30 سنة</t>
  </si>
  <si>
    <t>مجموع الناخبين</t>
  </si>
  <si>
    <t>عدد الاناث</t>
  </si>
  <si>
    <t>عدد الذكور</t>
  </si>
  <si>
    <t>الناخبين المسجلين حسب الاعمار</t>
  </si>
  <si>
    <t>الناخبين المصوتين</t>
  </si>
  <si>
    <t>الناخبين المسجلين</t>
  </si>
  <si>
    <t>الولاية</t>
  </si>
  <si>
    <t>المحافظة</t>
  </si>
  <si>
    <t>مجموع المصوتين</t>
  </si>
  <si>
    <t>dataSetNameAr</t>
  </si>
  <si>
    <t xml:space="preserve">بيانات الناخبين </t>
  </si>
  <si>
    <t>datasetDescriptionAr</t>
  </si>
  <si>
    <t>categoryAr</t>
  </si>
  <si>
    <t>الانتخابات</t>
  </si>
  <si>
    <t>KeywordsAr</t>
  </si>
  <si>
    <t>PublicationDate</t>
  </si>
  <si>
    <t>TouchpointNameAr</t>
  </si>
  <si>
    <t>دائرة الشؤون الانتخابية</t>
  </si>
  <si>
    <t>Email</t>
  </si>
  <si>
    <t>info@moi.gov.om</t>
  </si>
  <si>
    <t>DataReferencePeriod</t>
  </si>
  <si>
    <t>OverallIndicatorsAr</t>
  </si>
  <si>
    <t>LanguageAr</t>
  </si>
  <si>
    <t xml:space="preserve">العربية </t>
  </si>
  <si>
    <t>RotatingAr</t>
  </si>
  <si>
    <t>موسمي</t>
  </si>
  <si>
    <t>DevelopmentDate</t>
  </si>
  <si>
    <t>ContactNumber</t>
  </si>
  <si>
    <t>File format</t>
  </si>
  <si>
    <t xml:space="preserve">الأكسل </t>
  </si>
  <si>
    <t>GeographicCoverageofDataAr</t>
  </si>
  <si>
    <t xml:space="preserve">سلطنة عمان </t>
  </si>
  <si>
    <t>sourceAr</t>
  </si>
  <si>
    <t>وزارة الداخلية</t>
  </si>
  <si>
    <t xml:space="preserve">الانتخابات - المجالس البلدية - الناخبين - الفترة الثانية - المصوتين </t>
  </si>
  <si>
    <t>بيانات الناخبين في انتخابات أعضاء المجالس البلدية للفترة الثانية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</si>
</sst>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 wrapText="1" readingOrder="2"/>
    </xf>
    <xf numFmtId="0" fontId="4" fillId="4" borderId="7" xfId="1" applyFont="1" applyFill="1" applyBorder="1" applyAlignment="1">
      <alignment horizontal="right" vertical="center" wrapText="1" readingOrder="2"/>
    </xf>
    <xf numFmtId="0" fontId="4" fillId="5" borderId="8" xfId="1" applyFont="1" applyFill="1" applyBorder="1" applyAlignment="1">
      <alignment horizontal="center" vertical="center" wrapText="1" readingOrder="2"/>
    </xf>
    <xf numFmtId="0" fontId="5" fillId="5" borderId="7" xfId="1" applyFont="1" applyFill="1" applyBorder="1" applyAlignment="1">
      <alignment horizontal="right" vertical="center" wrapText="1" readingOrder="2"/>
    </xf>
    <xf numFmtId="0" fontId="4" fillId="0" borderId="8" xfId="1" applyFont="1" applyBorder="1" applyAlignment="1">
      <alignment horizontal="center" vertical="center" wrapText="1" readingOrder="2"/>
    </xf>
    <xf numFmtId="0" fontId="5" fillId="0" borderId="6" xfId="1" applyFont="1" applyBorder="1" applyAlignment="1">
      <alignment horizontal="right" vertical="center" wrapText="1" readingOrder="2"/>
    </xf>
    <xf numFmtId="14" fontId="5" fillId="0" borderId="6" xfId="1" applyNumberFormat="1" applyFont="1" applyBorder="1" applyAlignment="1">
      <alignment vertical="center" wrapText="1" readingOrder="2"/>
    </xf>
    <xf numFmtId="0" fontId="5" fillId="5" borderId="6" xfId="1" applyFont="1" applyFill="1" applyBorder="1" applyAlignment="1">
      <alignment horizontal="right" vertical="center" wrapText="1" readingOrder="2"/>
    </xf>
    <xf numFmtId="0" fontId="6" fillId="0" borderId="6" xfId="2" applyBorder="1" applyAlignment="1">
      <alignment horizontal="right" vertical="center" wrapText="1" readingOrder="2"/>
    </xf>
    <xf numFmtId="0" fontId="5" fillId="5" borderId="8" xfId="1" applyFont="1" applyFill="1" applyBorder="1" applyAlignment="1">
      <alignment horizontal="center" vertical="center" wrapText="1" readingOrder="2"/>
    </xf>
    <xf numFmtId="0" fontId="5" fillId="5" borderId="6" xfId="1" applyFont="1" applyFill="1" applyBorder="1" applyAlignment="1">
      <alignment vertical="center" wrapText="1" readingOrder="2"/>
    </xf>
    <xf numFmtId="0" fontId="4" fillId="0" borderId="9" xfId="1" applyFont="1" applyBorder="1" applyAlignment="1">
      <alignment horizontal="center" vertical="center" wrapText="1" readingOrder="2"/>
    </xf>
    <xf numFmtId="0" fontId="5" fillId="0" borderId="7" xfId="1" applyFont="1" applyBorder="1" applyAlignment="1">
      <alignment horizontal="right" vertical="center" wrapText="1" readingOrder="2"/>
    </xf>
    <xf numFmtId="0" fontId="4" fillId="5" borderId="9" xfId="1" applyFont="1" applyFill="1" applyBorder="1" applyAlignment="1">
      <alignment horizontal="center" vertical="center" wrapText="1" readingOrder="2"/>
    </xf>
    <xf numFmtId="0" fontId="5" fillId="5" borderId="7" xfId="1" applyFont="1" applyFill="1" applyBorder="1" applyAlignment="1">
      <alignment vertical="center" wrapText="1" readingOrder="2"/>
    </xf>
    <xf numFmtId="0" fontId="4" fillId="0" borderId="9" xfId="1" applyFont="1" applyBorder="1" applyAlignment="1">
      <alignment horizontal="justify" vertical="center" wrapText="1" readingOrder="2"/>
    </xf>
  </cellXfs>
  <cellStyles count="3">
    <cellStyle name="Normal" xfId="0" builtinId="0"/>
    <cellStyle name="Normal 2" xfId="1"/>
    <cellStyle name="ارتباط تشعبي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oi.gov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4" sqref="E4"/>
    </sheetView>
  </sheetViews>
  <sheetFormatPr defaultRowHeight="15" x14ac:dyDescent="0.25"/>
  <cols>
    <col min="1" max="1" width="26.140625" bestFit="1" customWidth="1"/>
    <col min="2" max="2" width="24" bestFit="1" customWidth="1"/>
    <col min="3" max="3" width="12.7109375" bestFit="1" customWidth="1"/>
    <col min="4" max="4" width="12.42578125" bestFit="1" customWidth="1"/>
    <col min="5" max="5" width="18.140625" bestFit="1" customWidth="1"/>
    <col min="6" max="6" width="19.7109375" bestFit="1" customWidth="1"/>
    <col min="7" max="10" width="20.7109375" bestFit="1" customWidth="1"/>
    <col min="11" max="11" width="18" bestFit="1" customWidth="1"/>
    <col min="12" max="12" width="12.7109375" bestFit="1" customWidth="1"/>
    <col min="13" max="13" width="12.42578125" bestFit="1" customWidth="1"/>
    <col min="14" max="14" width="18.140625" bestFit="1" customWidth="1"/>
  </cols>
  <sheetData>
    <row r="1" spans="1:20" ht="21" x14ac:dyDescent="0.25">
      <c r="A1" s="8" t="s">
        <v>86</v>
      </c>
      <c r="B1" s="8" t="s">
        <v>85</v>
      </c>
      <c r="C1" s="8" t="s">
        <v>84</v>
      </c>
      <c r="D1" s="8"/>
      <c r="E1" s="8"/>
      <c r="F1" s="8" t="s">
        <v>82</v>
      </c>
      <c r="G1" s="8"/>
      <c r="H1" s="8"/>
      <c r="I1" s="8"/>
      <c r="J1" s="8"/>
      <c r="K1" s="8"/>
      <c r="L1" s="10" t="s">
        <v>83</v>
      </c>
      <c r="M1" s="11"/>
      <c r="N1" s="12"/>
      <c r="O1" s="8" t="s">
        <v>82</v>
      </c>
      <c r="P1" s="8"/>
      <c r="Q1" s="8"/>
      <c r="R1" s="8"/>
      <c r="S1" s="8"/>
      <c r="T1" s="8"/>
    </row>
    <row r="2" spans="1:20" ht="21" x14ac:dyDescent="0.25">
      <c r="A2" s="8"/>
      <c r="B2" s="8"/>
      <c r="C2" s="3" t="s">
        <v>81</v>
      </c>
      <c r="D2" s="3" t="s">
        <v>80</v>
      </c>
      <c r="E2" s="3" t="s">
        <v>79</v>
      </c>
      <c r="F2" s="3" t="s">
        <v>78</v>
      </c>
      <c r="G2" s="3" t="s">
        <v>77</v>
      </c>
      <c r="H2" s="3" t="s">
        <v>76</v>
      </c>
      <c r="I2" s="3" t="s">
        <v>75</v>
      </c>
      <c r="J2" s="3" t="s">
        <v>74</v>
      </c>
      <c r="K2" s="3" t="s">
        <v>73</v>
      </c>
      <c r="L2" s="4" t="s">
        <v>81</v>
      </c>
      <c r="M2" s="4" t="s">
        <v>80</v>
      </c>
      <c r="N2" s="4" t="s">
        <v>87</v>
      </c>
      <c r="O2" s="5" t="s">
        <v>78</v>
      </c>
      <c r="P2" s="5" t="s">
        <v>77</v>
      </c>
      <c r="Q2" s="5" t="s">
        <v>76</v>
      </c>
      <c r="R2" s="5" t="s">
        <v>75</v>
      </c>
      <c r="S2" s="5" t="s">
        <v>74</v>
      </c>
      <c r="T2" s="5" t="s">
        <v>73</v>
      </c>
    </row>
    <row r="3" spans="1:20" ht="21" x14ac:dyDescent="0.25">
      <c r="A3" s="3" t="s">
        <v>67</v>
      </c>
      <c r="B3" s="3" t="s">
        <v>72</v>
      </c>
      <c r="C3" s="2">
        <v>5924</v>
      </c>
      <c r="D3" s="2">
        <v>6033</v>
      </c>
      <c r="E3" s="5">
        <v>11957</v>
      </c>
      <c r="F3" s="2">
        <v>1442</v>
      </c>
      <c r="G3" s="2">
        <v>4570</v>
      </c>
      <c r="H3" s="2">
        <v>2865</v>
      </c>
      <c r="I3" s="2">
        <v>1686</v>
      </c>
      <c r="J3" s="2">
        <v>871</v>
      </c>
      <c r="K3" s="2">
        <v>523</v>
      </c>
      <c r="L3" s="2">
        <v>1347</v>
      </c>
      <c r="M3" s="2">
        <v>843</v>
      </c>
      <c r="N3" s="5">
        <v>2190</v>
      </c>
      <c r="O3" s="2">
        <v>1539</v>
      </c>
      <c r="P3" s="2">
        <v>1702</v>
      </c>
      <c r="Q3" s="2">
        <v>971</v>
      </c>
      <c r="R3" s="2">
        <v>641</v>
      </c>
      <c r="S3" s="2">
        <v>272</v>
      </c>
      <c r="T3" s="2">
        <v>125</v>
      </c>
    </row>
    <row r="4" spans="1:20" ht="21" x14ac:dyDescent="0.25">
      <c r="A4" s="3" t="s">
        <v>67</v>
      </c>
      <c r="B4" s="3" t="s">
        <v>71</v>
      </c>
      <c r="C4" s="2">
        <v>9887</v>
      </c>
      <c r="D4" s="2">
        <v>6937</v>
      </c>
      <c r="E4" s="5">
        <v>16824</v>
      </c>
      <c r="F4" s="2">
        <v>1732</v>
      </c>
      <c r="G4" s="2">
        <v>6472</v>
      </c>
      <c r="H4" s="2">
        <v>4033</v>
      </c>
      <c r="I4" s="2">
        <v>2465</v>
      </c>
      <c r="J4" s="2">
        <v>1400</v>
      </c>
      <c r="K4" s="2">
        <v>722</v>
      </c>
      <c r="L4" s="2">
        <v>2546</v>
      </c>
      <c r="M4" s="2">
        <v>1239</v>
      </c>
      <c r="N4" s="5">
        <v>3785</v>
      </c>
      <c r="O4" s="2">
        <v>1792</v>
      </c>
      <c r="P4" s="2">
        <v>2058</v>
      </c>
      <c r="Q4" s="2">
        <v>1307</v>
      </c>
      <c r="R4" s="2">
        <v>887</v>
      </c>
      <c r="S4" s="2">
        <v>379</v>
      </c>
      <c r="T4" s="2">
        <v>157</v>
      </c>
    </row>
    <row r="5" spans="1:20" ht="21" x14ac:dyDescent="0.25">
      <c r="A5" s="3" t="s">
        <v>67</v>
      </c>
      <c r="B5" s="3" t="s">
        <v>70</v>
      </c>
      <c r="C5" s="2">
        <v>5477</v>
      </c>
      <c r="D5" s="2">
        <v>4229</v>
      </c>
      <c r="E5" s="5">
        <v>9706</v>
      </c>
      <c r="F5" s="2">
        <v>1686</v>
      </c>
      <c r="G5" s="2">
        <v>3489</v>
      </c>
      <c r="H5" s="2">
        <v>2115</v>
      </c>
      <c r="I5" s="2">
        <v>1271</v>
      </c>
      <c r="J5" s="2">
        <v>706</v>
      </c>
      <c r="K5" s="2">
        <v>439</v>
      </c>
      <c r="L5" s="2">
        <v>2031</v>
      </c>
      <c r="M5" s="2">
        <v>1070</v>
      </c>
      <c r="N5" s="5">
        <v>3101</v>
      </c>
      <c r="O5" s="2">
        <v>788</v>
      </c>
      <c r="P5" s="2">
        <v>951</v>
      </c>
      <c r="Q5" s="2">
        <v>551</v>
      </c>
      <c r="R5" s="2">
        <v>376</v>
      </c>
      <c r="S5" s="2">
        <v>182</v>
      </c>
      <c r="T5" s="2">
        <v>91</v>
      </c>
    </row>
    <row r="6" spans="1:20" ht="21" x14ac:dyDescent="0.25">
      <c r="A6" s="3" t="s">
        <v>67</v>
      </c>
      <c r="B6" s="3" t="s">
        <v>69</v>
      </c>
      <c r="C6" s="2">
        <v>6550</v>
      </c>
      <c r="D6" s="2">
        <v>5230</v>
      </c>
      <c r="E6" s="5">
        <v>11780</v>
      </c>
      <c r="F6" s="2">
        <v>1790</v>
      </c>
      <c r="G6" s="2">
        <v>4086</v>
      </c>
      <c r="H6" s="2">
        <v>2811</v>
      </c>
      <c r="I6" s="2">
        <v>1672</v>
      </c>
      <c r="J6" s="2">
        <v>953</v>
      </c>
      <c r="K6" s="2">
        <v>468</v>
      </c>
      <c r="L6" s="2">
        <v>1718</v>
      </c>
      <c r="M6" s="2">
        <v>761</v>
      </c>
      <c r="N6" s="5">
        <v>2479</v>
      </c>
      <c r="O6" s="2">
        <v>1076</v>
      </c>
      <c r="P6" s="2">
        <v>1326</v>
      </c>
      <c r="Q6" s="2">
        <v>782</v>
      </c>
      <c r="R6" s="2">
        <v>502</v>
      </c>
      <c r="S6" s="2">
        <v>241</v>
      </c>
      <c r="T6" s="2">
        <v>69</v>
      </c>
    </row>
    <row r="7" spans="1:20" ht="21" x14ac:dyDescent="0.25">
      <c r="A7" s="3" t="s">
        <v>67</v>
      </c>
      <c r="B7" s="3" t="s">
        <v>68</v>
      </c>
      <c r="C7" s="2">
        <v>12998</v>
      </c>
      <c r="D7" s="2">
        <v>10600</v>
      </c>
      <c r="E7" s="5">
        <v>23598</v>
      </c>
      <c r="F7" s="2">
        <v>3541</v>
      </c>
      <c r="G7" s="2">
        <v>8822</v>
      </c>
      <c r="H7" s="2">
        <v>5352</v>
      </c>
      <c r="I7" s="2">
        <v>3272</v>
      </c>
      <c r="J7" s="2">
        <v>1662</v>
      </c>
      <c r="K7" s="2">
        <v>949</v>
      </c>
      <c r="L7" s="2">
        <v>2272</v>
      </c>
      <c r="M7" s="2">
        <v>1007</v>
      </c>
      <c r="N7" s="5">
        <v>3279</v>
      </c>
      <c r="O7" s="2">
        <v>2246</v>
      </c>
      <c r="P7" s="2">
        <v>2262</v>
      </c>
      <c r="Q7" s="2">
        <v>1559</v>
      </c>
      <c r="R7" s="2">
        <v>972</v>
      </c>
      <c r="S7" s="2">
        <v>465</v>
      </c>
      <c r="T7" s="2">
        <v>208</v>
      </c>
    </row>
    <row r="8" spans="1:20" ht="21" x14ac:dyDescent="0.25">
      <c r="A8" s="3" t="s">
        <v>67</v>
      </c>
      <c r="B8" s="3" t="s">
        <v>66</v>
      </c>
      <c r="C8" s="2">
        <v>7029</v>
      </c>
      <c r="D8" s="2">
        <v>7401</v>
      </c>
      <c r="E8" s="5">
        <v>14430</v>
      </c>
      <c r="F8" s="2">
        <v>2570</v>
      </c>
      <c r="G8" s="2">
        <v>5360</v>
      </c>
      <c r="H8" s="2">
        <v>2753</v>
      </c>
      <c r="I8" s="2">
        <v>1760</v>
      </c>
      <c r="J8" s="2">
        <v>1130</v>
      </c>
      <c r="K8" s="2">
        <v>857</v>
      </c>
      <c r="L8" s="2">
        <v>3442</v>
      </c>
      <c r="M8" s="2">
        <v>2232</v>
      </c>
      <c r="N8" s="5">
        <v>5674</v>
      </c>
      <c r="O8" s="2">
        <v>2525</v>
      </c>
      <c r="P8" s="2">
        <v>2590</v>
      </c>
      <c r="Q8" s="2">
        <v>1535</v>
      </c>
      <c r="R8" s="2">
        <v>1077</v>
      </c>
      <c r="S8" s="2">
        <v>631</v>
      </c>
      <c r="T8" s="2">
        <v>322</v>
      </c>
    </row>
    <row r="9" spans="1:20" ht="21" x14ac:dyDescent="0.25">
      <c r="A9" s="3" t="s">
        <v>56</v>
      </c>
      <c r="B9" s="3" t="s">
        <v>65</v>
      </c>
      <c r="C9" s="2">
        <v>17915</v>
      </c>
      <c r="D9" s="2">
        <v>16800</v>
      </c>
      <c r="E9" s="5">
        <v>34715</v>
      </c>
      <c r="F9" s="2">
        <v>8187</v>
      </c>
      <c r="G9" s="2">
        <v>12708</v>
      </c>
      <c r="H9" s="2">
        <v>6358</v>
      </c>
      <c r="I9" s="2">
        <v>4308</v>
      </c>
      <c r="J9" s="2">
        <v>1981</v>
      </c>
      <c r="K9" s="2">
        <v>1173</v>
      </c>
      <c r="L9" s="2">
        <v>11445</v>
      </c>
      <c r="M9" s="2">
        <v>10115</v>
      </c>
      <c r="N9" s="5">
        <v>21560</v>
      </c>
      <c r="O9" s="2">
        <v>4640</v>
      </c>
      <c r="P9" s="2">
        <v>5197</v>
      </c>
      <c r="Q9" s="2">
        <v>2533</v>
      </c>
      <c r="R9" s="2">
        <v>1691</v>
      </c>
      <c r="S9" s="2">
        <v>618</v>
      </c>
      <c r="T9" s="2">
        <v>274</v>
      </c>
    </row>
    <row r="10" spans="1:20" ht="21" x14ac:dyDescent="0.25">
      <c r="A10" s="3" t="s">
        <v>56</v>
      </c>
      <c r="B10" s="3" t="s">
        <v>64</v>
      </c>
      <c r="C10" s="2">
        <v>3692</v>
      </c>
      <c r="D10" s="2">
        <v>3541</v>
      </c>
      <c r="E10" s="5">
        <v>7233</v>
      </c>
      <c r="F10" s="2">
        <v>1404</v>
      </c>
      <c r="G10" s="2">
        <v>2736</v>
      </c>
      <c r="H10" s="2">
        <v>1238</v>
      </c>
      <c r="I10" s="2">
        <v>984</v>
      </c>
      <c r="J10" s="2">
        <v>477</v>
      </c>
      <c r="K10" s="2">
        <v>394</v>
      </c>
      <c r="L10" s="2">
        <v>2087</v>
      </c>
      <c r="M10" s="2">
        <v>1305</v>
      </c>
      <c r="N10" s="5">
        <v>3392</v>
      </c>
      <c r="O10" s="2">
        <v>1016</v>
      </c>
      <c r="P10" s="2">
        <v>1126</v>
      </c>
      <c r="Q10" s="2">
        <v>533</v>
      </c>
      <c r="R10" s="2">
        <v>376</v>
      </c>
      <c r="S10" s="2">
        <v>155</v>
      </c>
      <c r="T10" s="2">
        <v>78</v>
      </c>
    </row>
    <row r="11" spans="1:20" ht="21" x14ac:dyDescent="0.25">
      <c r="A11" s="3" t="s">
        <v>56</v>
      </c>
      <c r="B11" s="3" t="s">
        <v>63</v>
      </c>
      <c r="C11" s="2">
        <v>3419</v>
      </c>
      <c r="D11" s="2">
        <v>3732</v>
      </c>
      <c r="E11" s="5">
        <v>7151</v>
      </c>
      <c r="F11" s="2">
        <v>1292</v>
      </c>
      <c r="G11" s="2">
        <v>2673</v>
      </c>
      <c r="H11" s="2">
        <v>1148</v>
      </c>
      <c r="I11" s="2">
        <v>1010</v>
      </c>
      <c r="J11" s="2">
        <v>581</v>
      </c>
      <c r="K11" s="2">
        <v>447</v>
      </c>
      <c r="L11" s="2">
        <v>1961</v>
      </c>
      <c r="M11" s="2">
        <v>1835</v>
      </c>
      <c r="N11" s="5">
        <v>3796</v>
      </c>
      <c r="O11" s="2">
        <v>1218</v>
      </c>
      <c r="P11" s="2">
        <v>1300</v>
      </c>
      <c r="Q11" s="2">
        <v>605</v>
      </c>
      <c r="R11" s="2">
        <v>513</v>
      </c>
      <c r="S11" s="2">
        <v>268</v>
      </c>
      <c r="T11" s="2">
        <v>125</v>
      </c>
    </row>
    <row r="12" spans="1:20" ht="21" x14ac:dyDescent="0.25">
      <c r="A12" s="3" t="s">
        <v>56</v>
      </c>
      <c r="B12" s="3" t="s">
        <v>62</v>
      </c>
      <c r="C12" s="2">
        <v>2134</v>
      </c>
      <c r="D12" s="2">
        <v>2344</v>
      </c>
      <c r="E12" s="5">
        <v>4478</v>
      </c>
      <c r="F12" s="2">
        <v>1084</v>
      </c>
      <c r="G12" s="2">
        <v>1506</v>
      </c>
      <c r="H12" s="2">
        <v>757</v>
      </c>
      <c r="I12" s="2">
        <v>571</v>
      </c>
      <c r="J12" s="2">
        <v>300</v>
      </c>
      <c r="K12" s="2">
        <v>260</v>
      </c>
      <c r="L12" s="2">
        <v>1250</v>
      </c>
      <c r="M12" s="2">
        <v>1221</v>
      </c>
      <c r="N12" s="5">
        <v>2471</v>
      </c>
      <c r="O12" s="2">
        <v>987</v>
      </c>
      <c r="P12" s="2">
        <v>717</v>
      </c>
      <c r="Q12" s="2">
        <v>495</v>
      </c>
      <c r="R12" s="2">
        <v>256</v>
      </c>
      <c r="S12" s="2">
        <v>160</v>
      </c>
      <c r="T12" s="2">
        <v>85</v>
      </c>
    </row>
    <row r="13" spans="1:20" ht="21" x14ac:dyDescent="0.25">
      <c r="A13" s="3" t="s">
        <v>56</v>
      </c>
      <c r="B13" s="3" t="s">
        <v>61</v>
      </c>
      <c r="C13" s="2">
        <v>2962</v>
      </c>
      <c r="D13" s="2">
        <v>2727</v>
      </c>
      <c r="E13" s="5">
        <v>5689</v>
      </c>
      <c r="F13" s="2">
        <v>1460</v>
      </c>
      <c r="G13" s="2">
        <v>2275</v>
      </c>
      <c r="H13" s="2">
        <v>835</v>
      </c>
      <c r="I13" s="2">
        <v>594</v>
      </c>
      <c r="J13" s="2">
        <v>286</v>
      </c>
      <c r="K13" s="2">
        <v>239</v>
      </c>
      <c r="L13" s="2">
        <v>2027</v>
      </c>
      <c r="M13" s="2">
        <v>1748</v>
      </c>
      <c r="N13" s="5">
        <v>3775</v>
      </c>
      <c r="O13" s="2">
        <v>980</v>
      </c>
      <c r="P13" s="2">
        <v>826</v>
      </c>
      <c r="Q13" s="2">
        <v>338</v>
      </c>
      <c r="R13" s="2">
        <v>255</v>
      </c>
      <c r="S13" s="2">
        <v>120</v>
      </c>
      <c r="T13" s="2">
        <v>69</v>
      </c>
    </row>
    <row r="14" spans="1:20" ht="21" x14ac:dyDescent="0.25">
      <c r="A14" s="3" t="s">
        <v>56</v>
      </c>
      <c r="B14" s="3" t="s">
        <v>60</v>
      </c>
      <c r="C14" s="2">
        <v>1583</v>
      </c>
      <c r="D14" s="2">
        <v>1642</v>
      </c>
      <c r="E14" s="5">
        <v>3225</v>
      </c>
      <c r="F14" s="2">
        <v>729</v>
      </c>
      <c r="G14" s="2">
        <v>1096</v>
      </c>
      <c r="H14" s="2">
        <v>545</v>
      </c>
      <c r="I14" s="2">
        <v>450</v>
      </c>
      <c r="J14" s="2">
        <v>214</v>
      </c>
      <c r="K14" s="2">
        <v>191</v>
      </c>
      <c r="L14" s="2">
        <v>1045</v>
      </c>
      <c r="M14" s="2">
        <v>1080</v>
      </c>
      <c r="N14" s="5">
        <v>2125</v>
      </c>
      <c r="O14" s="2">
        <v>758</v>
      </c>
      <c r="P14" s="2">
        <v>645</v>
      </c>
      <c r="Q14" s="2">
        <v>374</v>
      </c>
      <c r="R14" s="2">
        <v>221</v>
      </c>
      <c r="S14" s="2">
        <v>133</v>
      </c>
      <c r="T14" s="2">
        <v>74</v>
      </c>
    </row>
    <row r="15" spans="1:20" ht="21" x14ac:dyDescent="0.25">
      <c r="A15" s="3" t="s">
        <v>56</v>
      </c>
      <c r="B15" s="3" t="s">
        <v>59</v>
      </c>
      <c r="C15" s="2">
        <v>1535</v>
      </c>
      <c r="D15" s="2">
        <v>1483</v>
      </c>
      <c r="E15" s="5">
        <v>3018</v>
      </c>
      <c r="F15" s="2">
        <v>817</v>
      </c>
      <c r="G15" s="2">
        <v>942</v>
      </c>
      <c r="H15" s="2">
        <v>436</v>
      </c>
      <c r="I15" s="2">
        <v>427</v>
      </c>
      <c r="J15" s="2">
        <v>189</v>
      </c>
      <c r="K15" s="2">
        <v>207</v>
      </c>
      <c r="L15" s="2">
        <v>631</v>
      </c>
      <c r="M15" s="2">
        <v>477</v>
      </c>
      <c r="N15" s="5">
        <v>1108</v>
      </c>
      <c r="O15" s="2">
        <v>573</v>
      </c>
      <c r="P15" s="2">
        <v>379</v>
      </c>
      <c r="Q15" s="2">
        <v>317</v>
      </c>
      <c r="R15" s="2">
        <v>201</v>
      </c>
      <c r="S15" s="2">
        <v>112</v>
      </c>
      <c r="T15" s="2">
        <v>67</v>
      </c>
    </row>
    <row r="16" spans="1:20" ht="21" x14ac:dyDescent="0.25">
      <c r="A16" s="3" t="s">
        <v>56</v>
      </c>
      <c r="B16" s="3" t="s">
        <v>58</v>
      </c>
      <c r="C16" s="2">
        <v>514</v>
      </c>
      <c r="D16" s="2">
        <v>443</v>
      </c>
      <c r="E16" s="5">
        <v>957</v>
      </c>
      <c r="F16" s="2">
        <v>200</v>
      </c>
      <c r="G16" s="2">
        <v>374</v>
      </c>
      <c r="H16" s="2">
        <v>154</v>
      </c>
      <c r="I16" s="2">
        <v>121</v>
      </c>
      <c r="J16" s="2">
        <v>59</v>
      </c>
      <c r="K16" s="2">
        <v>49</v>
      </c>
      <c r="L16" s="2">
        <v>282</v>
      </c>
      <c r="M16" s="2">
        <v>178</v>
      </c>
      <c r="N16" s="5">
        <v>460</v>
      </c>
      <c r="O16" s="2">
        <v>243</v>
      </c>
      <c r="P16" s="2">
        <v>214</v>
      </c>
      <c r="Q16" s="2">
        <v>102</v>
      </c>
      <c r="R16" s="2">
        <v>72</v>
      </c>
      <c r="S16" s="2">
        <v>23</v>
      </c>
      <c r="T16" s="2">
        <v>5</v>
      </c>
    </row>
    <row r="17" spans="1:20" ht="21" x14ac:dyDescent="0.25">
      <c r="A17" s="3" t="s">
        <v>56</v>
      </c>
      <c r="B17" s="3" t="s">
        <v>57</v>
      </c>
      <c r="C17" s="2">
        <v>1040</v>
      </c>
      <c r="D17" s="2">
        <v>899</v>
      </c>
      <c r="E17" s="5">
        <v>1939</v>
      </c>
      <c r="F17" s="2">
        <v>564</v>
      </c>
      <c r="G17" s="2">
        <v>605</v>
      </c>
      <c r="H17" s="2">
        <v>276</v>
      </c>
      <c r="I17" s="2">
        <v>250</v>
      </c>
      <c r="J17" s="2">
        <v>118</v>
      </c>
      <c r="K17" s="2">
        <v>126</v>
      </c>
      <c r="L17" s="2">
        <v>727</v>
      </c>
      <c r="M17" s="2">
        <v>441</v>
      </c>
      <c r="N17" s="5">
        <v>1168</v>
      </c>
      <c r="O17" s="2">
        <v>345</v>
      </c>
      <c r="P17" s="2">
        <v>303</v>
      </c>
      <c r="Q17" s="2">
        <v>165</v>
      </c>
      <c r="R17" s="2">
        <v>144</v>
      </c>
      <c r="S17" s="2">
        <v>83</v>
      </c>
      <c r="T17" s="2">
        <v>40</v>
      </c>
    </row>
    <row r="18" spans="1:20" ht="21" x14ac:dyDescent="0.25">
      <c r="A18" s="3" t="s">
        <v>56</v>
      </c>
      <c r="B18" s="3" t="s">
        <v>55</v>
      </c>
      <c r="C18" s="2">
        <v>1093</v>
      </c>
      <c r="D18" s="2">
        <v>1196</v>
      </c>
      <c r="E18" s="5">
        <v>2289</v>
      </c>
      <c r="F18" s="2">
        <v>527</v>
      </c>
      <c r="G18" s="2">
        <v>830</v>
      </c>
      <c r="H18" s="2">
        <v>305</v>
      </c>
      <c r="I18" s="2">
        <v>296</v>
      </c>
      <c r="J18" s="2">
        <v>188</v>
      </c>
      <c r="K18" s="2">
        <v>143</v>
      </c>
      <c r="L18" s="2">
        <v>680</v>
      </c>
      <c r="M18" s="2">
        <v>531</v>
      </c>
      <c r="N18" s="5">
        <v>1211</v>
      </c>
      <c r="O18" s="2">
        <v>392</v>
      </c>
      <c r="P18" s="2">
        <v>401</v>
      </c>
      <c r="Q18" s="2">
        <v>189</v>
      </c>
      <c r="R18" s="2">
        <v>178</v>
      </c>
      <c r="S18" s="2">
        <v>84</v>
      </c>
      <c r="T18" s="2">
        <v>41</v>
      </c>
    </row>
    <row r="19" spans="1:20" ht="21" x14ac:dyDescent="0.25">
      <c r="A19" s="3" t="s">
        <v>51</v>
      </c>
      <c r="B19" s="3" t="s">
        <v>54</v>
      </c>
      <c r="C19" s="2">
        <v>2938</v>
      </c>
      <c r="D19" s="2">
        <v>2544</v>
      </c>
      <c r="E19" s="5">
        <v>5482</v>
      </c>
      <c r="F19" s="2">
        <v>819</v>
      </c>
      <c r="G19" s="2">
        <v>1956</v>
      </c>
      <c r="H19" s="2">
        <v>996</v>
      </c>
      <c r="I19" s="2">
        <v>638</v>
      </c>
      <c r="J19" s="2">
        <v>645</v>
      </c>
      <c r="K19" s="2">
        <v>428</v>
      </c>
      <c r="L19" s="2">
        <v>1337</v>
      </c>
      <c r="M19" s="2">
        <v>776</v>
      </c>
      <c r="N19" s="5">
        <v>2113</v>
      </c>
      <c r="O19" s="2">
        <v>1080</v>
      </c>
      <c r="P19" s="2">
        <v>1090</v>
      </c>
      <c r="Q19" s="2">
        <v>589</v>
      </c>
      <c r="R19" s="2">
        <v>519</v>
      </c>
      <c r="S19" s="2">
        <v>417</v>
      </c>
      <c r="T19" s="2">
        <v>151</v>
      </c>
    </row>
    <row r="20" spans="1:20" ht="21" x14ac:dyDescent="0.25">
      <c r="A20" s="3" t="s">
        <v>51</v>
      </c>
      <c r="B20" s="3" t="s">
        <v>53</v>
      </c>
      <c r="C20" s="2">
        <v>1301</v>
      </c>
      <c r="D20" s="2">
        <v>944</v>
      </c>
      <c r="E20" s="5">
        <v>2245</v>
      </c>
      <c r="F20" s="2">
        <v>363</v>
      </c>
      <c r="G20" s="2">
        <v>835</v>
      </c>
      <c r="H20" s="2">
        <v>402</v>
      </c>
      <c r="I20" s="2">
        <v>264</v>
      </c>
      <c r="J20" s="2">
        <v>185</v>
      </c>
      <c r="K20" s="2">
        <v>196</v>
      </c>
      <c r="L20" s="2">
        <v>622</v>
      </c>
      <c r="M20" s="2">
        <v>144</v>
      </c>
      <c r="N20" s="5">
        <v>766</v>
      </c>
      <c r="O20" s="2">
        <v>419</v>
      </c>
      <c r="P20" s="2">
        <v>465</v>
      </c>
      <c r="Q20" s="2">
        <v>230</v>
      </c>
      <c r="R20" s="2">
        <v>201</v>
      </c>
      <c r="S20" s="2">
        <v>111</v>
      </c>
      <c r="T20" s="2">
        <v>89</v>
      </c>
    </row>
    <row r="21" spans="1:20" ht="21" x14ac:dyDescent="0.25">
      <c r="A21" s="3" t="s">
        <v>51</v>
      </c>
      <c r="B21" s="3" t="s">
        <v>52</v>
      </c>
      <c r="C21" s="2">
        <v>632</v>
      </c>
      <c r="D21" s="2">
        <v>456</v>
      </c>
      <c r="E21" s="5">
        <v>1088</v>
      </c>
      <c r="F21" s="2">
        <v>152</v>
      </c>
      <c r="G21" s="2">
        <v>427</v>
      </c>
      <c r="H21" s="2">
        <v>203</v>
      </c>
      <c r="I21" s="2">
        <v>125</v>
      </c>
      <c r="J21" s="2">
        <v>97</v>
      </c>
      <c r="K21" s="2">
        <v>84</v>
      </c>
      <c r="L21" s="2">
        <v>321</v>
      </c>
      <c r="M21" s="2">
        <v>163</v>
      </c>
      <c r="N21" s="5">
        <v>484</v>
      </c>
      <c r="O21" s="2">
        <v>232</v>
      </c>
      <c r="P21" s="2">
        <v>254</v>
      </c>
      <c r="Q21" s="2">
        <v>113</v>
      </c>
      <c r="R21" s="2">
        <v>70</v>
      </c>
      <c r="S21" s="2">
        <v>63</v>
      </c>
      <c r="T21" s="2">
        <v>27</v>
      </c>
    </row>
    <row r="22" spans="1:20" ht="21" x14ac:dyDescent="0.25">
      <c r="A22" s="3" t="s">
        <v>51</v>
      </c>
      <c r="B22" s="3" t="s">
        <v>50</v>
      </c>
      <c r="C22" s="2">
        <v>593</v>
      </c>
      <c r="D22" s="2">
        <v>516</v>
      </c>
      <c r="E22" s="5">
        <v>1109</v>
      </c>
      <c r="F22" s="2">
        <v>195</v>
      </c>
      <c r="G22" s="2">
        <v>444</v>
      </c>
      <c r="H22" s="2">
        <v>204</v>
      </c>
      <c r="I22" s="2">
        <v>106</v>
      </c>
      <c r="J22" s="2">
        <v>76</v>
      </c>
      <c r="K22" s="2">
        <v>84</v>
      </c>
      <c r="L22" s="2">
        <v>253</v>
      </c>
      <c r="M22" s="2">
        <v>134</v>
      </c>
      <c r="N22" s="5">
        <v>387</v>
      </c>
      <c r="O22" s="2">
        <v>308</v>
      </c>
      <c r="P22" s="2">
        <v>259</v>
      </c>
      <c r="Q22" s="2">
        <v>126</v>
      </c>
      <c r="R22" s="2">
        <v>74</v>
      </c>
      <c r="S22" s="2">
        <v>44</v>
      </c>
      <c r="T22" s="2">
        <v>30</v>
      </c>
    </row>
    <row r="23" spans="1:20" ht="21" x14ac:dyDescent="0.25">
      <c r="A23" s="3" t="s">
        <v>47</v>
      </c>
      <c r="B23" s="3" t="s">
        <v>49</v>
      </c>
      <c r="C23" s="2">
        <v>7228</v>
      </c>
      <c r="D23" s="2">
        <v>4562</v>
      </c>
      <c r="E23" s="5">
        <v>11790</v>
      </c>
      <c r="F23" s="2">
        <v>1722</v>
      </c>
      <c r="G23" s="2">
        <v>4691</v>
      </c>
      <c r="H23" s="2">
        <v>2359</v>
      </c>
      <c r="I23" s="2">
        <v>1466</v>
      </c>
      <c r="J23" s="2">
        <v>944</v>
      </c>
      <c r="K23" s="2">
        <v>608</v>
      </c>
      <c r="L23" s="2">
        <v>2403</v>
      </c>
      <c r="M23" s="2">
        <v>842</v>
      </c>
      <c r="N23" s="5">
        <v>3245</v>
      </c>
      <c r="O23" s="2">
        <v>1502</v>
      </c>
      <c r="P23" s="2">
        <v>1500</v>
      </c>
      <c r="Q23" s="2">
        <v>856</v>
      </c>
      <c r="R23" s="2">
        <v>650</v>
      </c>
      <c r="S23" s="2">
        <v>301</v>
      </c>
      <c r="T23" s="2">
        <v>132</v>
      </c>
    </row>
    <row r="24" spans="1:20" ht="21" x14ac:dyDescent="0.25">
      <c r="A24" s="3" t="s">
        <v>47</v>
      </c>
      <c r="B24" s="3" t="s">
        <v>48</v>
      </c>
      <c r="C24" s="2">
        <v>1103</v>
      </c>
      <c r="D24" s="2">
        <v>616</v>
      </c>
      <c r="E24" s="5">
        <v>1719</v>
      </c>
      <c r="F24" s="2">
        <v>213</v>
      </c>
      <c r="G24" s="2">
        <v>654</v>
      </c>
      <c r="H24" s="2">
        <v>359</v>
      </c>
      <c r="I24" s="2">
        <v>194</v>
      </c>
      <c r="J24" s="2">
        <v>154</v>
      </c>
      <c r="K24" s="2">
        <v>145</v>
      </c>
      <c r="L24" s="2">
        <v>340</v>
      </c>
      <c r="M24" s="2">
        <v>88</v>
      </c>
      <c r="N24" s="5">
        <v>428</v>
      </c>
      <c r="O24" s="2">
        <v>270</v>
      </c>
      <c r="P24" s="2">
        <v>313</v>
      </c>
      <c r="Q24" s="2">
        <v>147</v>
      </c>
      <c r="R24" s="2">
        <v>87</v>
      </c>
      <c r="S24" s="2">
        <v>63</v>
      </c>
      <c r="T24" s="2">
        <v>46</v>
      </c>
    </row>
    <row r="25" spans="1:20" ht="21" x14ac:dyDescent="0.25">
      <c r="A25" s="3" t="s">
        <v>47</v>
      </c>
      <c r="B25" s="3" t="s">
        <v>46</v>
      </c>
      <c r="C25" s="2">
        <v>160</v>
      </c>
      <c r="D25" s="2">
        <v>131</v>
      </c>
      <c r="E25" s="5">
        <v>291</v>
      </c>
      <c r="F25" s="2">
        <v>78</v>
      </c>
      <c r="G25" s="2">
        <v>93</v>
      </c>
      <c r="H25" s="2">
        <v>46</v>
      </c>
      <c r="I25" s="2">
        <v>34</v>
      </c>
      <c r="J25" s="2">
        <v>23</v>
      </c>
      <c r="K25" s="2">
        <v>17</v>
      </c>
      <c r="L25" s="2">
        <v>101</v>
      </c>
      <c r="M25" s="2">
        <v>57</v>
      </c>
      <c r="N25" s="5">
        <v>158</v>
      </c>
      <c r="O25" s="2">
        <v>26</v>
      </c>
      <c r="P25" s="2">
        <v>30</v>
      </c>
      <c r="Q25" s="2">
        <v>14</v>
      </c>
      <c r="R25" s="2">
        <v>11</v>
      </c>
      <c r="S25" s="2">
        <v>11</v>
      </c>
      <c r="T25" s="2">
        <v>6</v>
      </c>
    </row>
    <row r="26" spans="1:20" ht="21" x14ac:dyDescent="0.25">
      <c r="A26" s="3" t="s">
        <v>38</v>
      </c>
      <c r="B26" s="3" t="s">
        <v>45</v>
      </c>
      <c r="C26" s="2">
        <v>7691</v>
      </c>
      <c r="D26" s="2">
        <v>4549</v>
      </c>
      <c r="E26" s="5">
        <v>12240</v>
      </c>
      <c r="F26" s="2">
        <v>2085</v>
      </c>
      <c r="G26" s="2">
        <v>4730</v>
      </c>
      <c r="H26" s="2">
        <v>2591</v>
      </c>
      <c r="I26" s="2">
        <v>1441</v>
      </c>
      <c r="J26" s="2">
        <v>864</v>
      </c>
      <c r="K26" s="2">
        <v>529</v>
      </c>
      <c r="L26" s="2">
        <v>1929</v>
      </c>
      <c r="M26" s="2">
        <v>264</v>
      </c>
      <c r="N26" s="5">
        <v>2193</v>
      </c>
      <c r="O26" s="2">
        <v>1613</v>
      </c>
      <c r="P26" s="2">
        <v>2004</v>
      </c>
      <c r="Q26" s="2">
        <v>956</v>
      </c>
      <c r="R26" s="2">
        <v>593</v>
      </c>
      <c r="S26" s="2">
        <v>309</v>
      </c>
      <c r="T26" s="2">
        <v>109</v>
      </c>
    </row>
    <row r="27" spans="1:20" ht="21" x14ac:dyDescent="0.25">
      <c r="A27" s="3" t="s">
        <v>38</v>
      </c>
      <c r="B27" s="3" t="s">
        <v>44</v>
      </c>
      <c r="C27" s="2">
        <v>8929</v>
      </c>
      <c r="D27" s="2">
        <v>6135</v>
      </c>
      <c r="E27" s="5">
        <v>15064</v>
      </c>
      <c r="F27" s="2">
        <v>2157</v>
      </c>
      <c r="G27" s="2">
        <v>6007</v>
      </c>
      <c r="H27" s="2">
        <v>2716</v>
      </c>
      <c r="I27" s="2">
        <v>1951</v>
      </c>
      <c r="J27" s="2">
        <v>1276</v>
      </c>
      <c r="K27" s="2">
        <v>957</v>
      </c>
      <c r="L27" s="2">
        <v>3387</v>
      </c>
      <c r="M27" s="2">
        <v>1242</v>
      </c>
      <c r="N27" s="5">
        <v>4629</v>
      </c>
      <c r="O27" s="2">
        <v>1818</v>
      </c>
      <c r="P27" s="2">
        <v>2045</v>
      </c>
      <c r="Q27" s="2">
        <v>1163</v>
      </c>
      <c r="R27" s="2">
        <v>902</v>
      </c>
      <c r="S27" s="2">
        <v>567</v>
      </c>
      <c r="T27" s="2">
        <v>257</v>
      </c>
    </row>
    <row r="28" spans="1:20" ht="21" x14ac:dyDescent="0.25">
      <c r="A28" s="3" t="s">
        <v>38</v>
      </c>
      <c r="B28" s="3" t="s">
        <v>43</v>
      </c>
      <c r="C28" s="2">
        <v>2523</v>
      </c>
      <c r="D28" s="2">
        <v>2725</v>
      </c>
      <c r="E28" s="5">
        <v>5248</v>
      </c>
      <c r="F28" s="2">
        <v>1086</v>
      </c>
      <c r="G28" s="2">
        <v>1968</v>
      </c>
      <c r="H28" s="2">
        <v>945</v>
      </c>
      <c r="I28" s="2">
        <v>619</v>
      </c>
      <c r="J28" s="2">
        <v>368</v>
      </c>
      <c r="K28" s="2">
        <v>262</v>
      </c>
      <c r="L28" s="2">
        <v>1432</v>
      </c>
      <c r="M28" s="2">
        <v>1025</v>
      </c>
      <c r="N28" s="5">
        <v>2457</v>
      </c>
      <c r="O28" s="2">
        <v>1148</v>
      </c>
      <c r="P28" s="2">
        <v>1040</v>
      </c>
      <c r="Q28" s="2">
        <v>493</v>
      </c>
      <c r="R28" s="2">
        <v>393</v>
      </c>
      <c r="S28" s="2">
        <v>222</v>
      </c>
      <c r="T28" s="2">
        <v>100</v>
      </c>
    </row>
    <row r="29" spans="1:20" ht="21" x14ac:dyDescent="0.25">
      <c r="A29" s="3" t="s">
        <v>38</v>
      </c>
      <c r="B29" s="3" t="s">
        <v>42</v>
      </c>
      <c r="C29" s="2">
        <v>2654</v>
      </c>
      <c r="D29" s="2">
        <v>2258</v>
      </c>
      <c r="E29" s="5">
        <v>4912</v>
      </c>
      <c r="F29" s="2">
        <v>773</v>
      </c>
      <c r="G29" s="2">
        <v>1782</v>
      </c>
      <c r="H29" s="2">
        <v>994</v>
      </c>
      <c r="I29" s="2">
        <v>677</v>
      </c>
      <c r="J29" s="2">
        <v>377</v>
      </c>
      <c r="K29" s="2">
        <v>309</v>
      </c>
      <c r="L29" s="2">
        <v>667</v>
      </c>
      <c r="M29" s="2">
        <v>168</v>
      </c>
      <c r="N29" s="5">
        <v>835</v>
      </c>
      <c r="O29" s="2">
        <v>770</v>
      </c>
      <c r="P29" s="2">
        <v>814</v>
      </c>
      <c r="Q29" s="2">
        <v>540</v>
      </c>
      <c r="R29" s="2">
        <v>334</v>
      </c>
      <c r="S29" s="2">
        <v>170</v>
      </c>
      <c r="T29" s="2">
        <v>100</v>
      </c>
    </row>
    <row r="30" spans="1:20" ht="21" x14ac:dyDescent="0.25">
      <c r="A30" s="3" t="s">
        <v>38</v>
      </c>
      <c r="B30" s="3" t="s">
        <v>41</v>
      </c>
      <c r="C30" s="2">
        <v>3009</v>
      </c>
      <c r="D30" s="2">
        <v>2664</v>
      </c>
      <c r="E30" s="5">
        <v>5673</v>
      </c>
      <c r="F30" s="2">
        <v>1085</v>
      </c>
      <c r="G30" s="2">
        <v>1950</v>
      </c>
      <c r="H30" s="2">
        <v>1107</v>
      </c>
      <c r="I30" s="2">
        <v>754</v>
      </c>
      <c r="J30" s="2">
        <v>459</v>
      </c>
      <c r="K30" s="2">
        <v>318</v>
      </c>
      <c r="L30" s="2">
        <v>1367</v>
      </c>
      <c r="M30" s="2">
        <v>788</v>
      </c>
      <c r="N30" s="5">
        <v>2155</v>
      </c>
      <c r="O30" s="2">
        <v>887</v>
      </c>
      <c r="P30" s="2">
        <v>882</v>
      </c>
      <c r="Q30" s="2">
        <v>630</v>
      </c>
      <c r="R30" s="2">
        <v>367</v>
      </c>
      <c r="S30" s="2">
        <v>193</v>
      </c>
      <c r="T30" s="2">
        <v>82</v>
      </c>
    </row>
    <row r="31" spans="1:20" ht="21" x14ac:dyDescent="0.25">
      <c r="A31" s="3" t="s">
        <v>38</v>
      </c>
      <c r="B31" s="3" t="s">
        <v>40</v>
      </c>
      <c r="C31" s="2">
        <v>5210</v>
      </c>
      <c r="D31" s="2">
        <v>5307</v>
      </c>
      <c r="E31" s="5">
        <v>10517</v>
      </c>
      <c r="F31" s="2">
        <v>2035</v>
      </c>
      <c r="G31" s="2">
        <v>3815</v>
      </c>
      <c r="H31" s="2">
        <v>1901</v>
      </c>
      <c r="I31" s="2">
        <v>1256</v>
      </c>
      <c r="J31" s="2">
        <v>915</v>
      </c>
      <c r="K31" s="2">
        <v>595</v>
      </c>
      <c r="L31" s="2">
        <v>1697</v>
      </c>
      <c r="M31" s="2">
        <v>659</v>
      </c>
      <c r="N31" s="5">
        <v>2356</v>
      </c>
      <c r="O31" s="2">
        <v>1568</v>
      </c>
      <c r="P31" s="2">
        <v>1594</v>
      </c>
      <c r="Q31" s="2">
        <v>821</v>
      </c>
      <c r="R31" s="2">
        <v>674</v>
      </c>
      <c r="S31" s="2">
        <v>370</v>
      </c>
      <c r="T31" s="2">
        <v>217</v>
      </c>
    </row>
    <row r="32" spans="1:20" ht="21" x14ac:dyDescent="0.25">
      <c r="A32" s="3" t="s">
        <v>38</v>
      </c>
      <c r="B32" s="3" t="s">
        <v>39</v>
      </c>
      <c r="C32" s="2">
        <v>6310</v>
      </c>
      <c r="D32" s="2">
        <v>4820</v>
      </c>
      <c r="E32" s="5">
        <v>11130</v>
      </c>
      <c r="F32" s="2">
        <v>1709</v>
      </c>
      <c r="G32" s="2">
        <v>4360</v>
      </c>
      <c r="H32" s="2">
        <v>2245</v>
      </c>
      <c r="I32" s="2">
        <v>1389</v>
      </c>
      <c r="J32" s="2">
        <v>856</v>
      </c>
      <c r="K32" s="2">
        <v>571</v>
      </c>
      <c r="L32" s="2">
        <v>1911</v>
      </c>
      <c r="M32" s="2">
        <v>515</v>
      </c>
      <c r="N32" s="5">
        <v>2426</v>
      </c>
      <c r="O32" s="2">
        <v>1549</v>
      </c>
      <c r="P32" s="2">
        <v>1638</v>
      </c>
      <c r="Q32" s="2">
        <v>932</v>
      </c>
      <c r="R32" s="2">
        <v>650</v>
      </c>
      <c r="S32" s="2">
        <v>341</v>
      </c>
      <c r="T32" s="2">
        <v>167</v>
      </c>
    </row>
    <row r="33" spans="1:20" ht="21" x14ac:dyDescent="0.25">
      <c r="A33" s="3" t="s">
        <v>38</v>
      </c>
      <c r="B33" s="3" t="s">
        <v>37</v>
      </c>
      <c r="C33" s="2">
        <v>4059</v>
      </c>
      <c r="D33" s="2">
        <v>3855</v>
      </c>
      <c r="E33" s="5">
        <v>7914</v>
      </c>
      <c r="F33" s="2">
        <v>1499</v>
      </c>
      <c r="G33" s="2">
        <v>2904</v>
      </c>
      <c r="H33" s="2">
        <v>1584</v>
      </c>
      <c r="I33" s="2">
        <v>968</v>
      </c>
      <c r="J33" s="2">
        <v>569</v>
      </c>
      <c r="K33" s="2">
        <v>390</v>
      </c>
      <c r="L33" s="2">
        <v>1282</v>
      </c>
      <c r="M33" s="2">
        <v>694</v>
      </c>
      <c r="N33" s="5">
        <v>1976</v>
      </c>
      <c r="O33" s="2">
        <v>1197</v>
      </c>
      <c r="P33" s="2">
        <v>1318</v>
      </c>
      <c r="Q33" s="2">
        <v>755</v>
      </c>
      <c r="R33" s="2">
        <v>465</v>
      </c>
      <c r="S33" s="2">
        <v>265</v>
      </c>
      <c r="T33" s="2">
        <v>132</v>
      </c>
    </row>
    <row r="34" spans="1:20" ht="21" x14ac:dyDescent="0.25">
      <c r="A34" s="3" t="s">
        <v>31</v>
      </c>
      <c r="B34" s="3" t="s">
        <v>36</v>
      </c>
      <c r="C34" s="2">
        <v>15880</v>
      </c>
      <c r="D34" s="2">
        <v>13566</v>
      </c>
      <c r="E34" s="5">
        <v>29446</v>
      </c>
      <c r="F34" s="2">
        <v>4847</v>
      </c>
      <c r="G34" s="2">
        <v>10904</v>
      </c>
      <c r="H34" s="2">
        <v>5750</v>
      </c>
      <c r="I34" s="2">
        <v>3593</v>
      </c>
      <c r="J34" s="2">
        <v>2563</v>
      </c>
      <c r="K34" s="2">
        <v>1789</v>
      </c>
      <c r="L34" s="2">
        <v>7498</v>
      </c>
      <c r="M34" s="2">
        <v>4294</v>
      </c>
      <c r="N34" s="5">
        <v>11792</v>
      </c>
      <c r="O34" s="2">
        <v>3546</v>
      </c>
      <c r="P34" s="2">
        <v>3782</v>
      </c>
      <c r="Q34" s="2">
        <v>2175</v>
      </c>
      <c r="R34" s="2">
        <v>1614</v>
      </c>
      <c r="S34" s="2">
        <v>912</v>
      </c>
      <c r="T34" s="2">
        <v>487</v>
      </c>
    </row>
    <row r="35" spans="1:20" ht="21" x14ac:dyDescent="0.25">
      <c r="A35" s="3" t="s">
        <v>31</v>
      </c>
      <c r="B35" s="3" t="s">
        <v>35</v>
      </c>
      <c r="C35" s="2">
        <v>9381</v>
      </c>
      <c r="D35" s="2">
        <v>6816</v>
      </c>
      <c r="E35" s="5">
        <v>16197</v>
      </c>
      <c r="F35" s="2">
        <v>2239</v>
      </c>
      <c r="G35" s="2">
        <v>6275</v>
      </c>
      <c r="H35" s="2">
        <v>2856</v>
      </c>
      <c r="I35" s="2">
        <v>1895</v>
      </c>
      <c r="J35" s="2">
        <v>1520</v>
      </c>
      <c r="K35" s="2">
        <v>1412</v>
      </c>
      <c r="L35" s="2">
        <v>3850</v>
      </c>
      <c r="M35" s="2">
        <v>1790</v>
      </c>
      <c r="N35" s="5">
        <v>5640</v>
      </c>
      <c r="O35" s="2">
        <v>2376</v>
      </c>
      <c r="P35" s="2">
        <v>2474</v>
      </c>
      <c r="Q35" s="2">
        <v>1272</v>
      </c>
      <c r="R35" s="2">
        <v>1105</v>
      </c>
      <c r="S35" s="2">
        <v>736</v>
      </c>
      <c r="T35" s="2">
        <v>428</v>
      </c>
    </row>
    <row r="36" spans="1:20" ht="21" x14ac:dyDescent="0.25">
      <c r="A36" s="3" t="s">
        <v>31</v>
      </c>
      <c r="B36" s="3" t="s">
        <v>34</v>
      </c>
      <c r="C36" s="2">
        <v>4881</v>
      </c>
      <c r="D36" s="2">
        <v>3939</v>
      </c>
      <c r="E36" s="5">
        <v>8820</v>
      </c>
      <c r="F36" s="2">
        <v>1216</v>
      </c>
      <c r="G36" s="2">
        <v>3444</v>
      </c>
      <c r="H36" s="2">
        <v>1658</v>
      </c>
      <c r="I36" s="2">
        <v>996</v>
      </c>
      <c r="J36" s="2">
        <v>851</v>
      </c>
      <c r="K36" s="2">
        <v>655</v>
      </c>
      <c r="L36" s="2">
        <v>1772</v>
      </c>
      <c r="M36" s="2">
        <v>633</v>
      </c>
      <c r="N36" s="5">
        <v>2405</v>
      </c>
      <c r="O36" s="2">
        <v>1911</v>
      </c>
      <c r="P36" s="2">
        <v>1717</v>
      </c>
      <c r="Q36" s="2">
        <v>901</v>
      </c>
      <c r="R36" s="2">
        <v>703</v>
      </c>
      <c r="S36" s="2">
        <v>429</v>
      </c>
      <c r="T36" s="2">
        <v>231</v>
      </c>
    </row>
    <row r="37" spans="1:20" ht="21" x14ac:dyDescent="0.25">
      <c r="A37" s="3" t="s">
        <v>31</v>
      </c>
      <c r="B37" s="3" t="s">
        <v>33</v>
      </c>
      <c r="C37" s="2">
        <v>13039</v>
      </c>
      <c r="D37" s="2">
        <v>11289</v>
      </c>
      <c r="E37" s="5">
        <v>24328</v>
      </c>
      <c r="F37" s="2">
        <v>3694</v>
      </c>
      <c r="G37" s="2">
        <v>9245</v>
      </c>
      <c r="H37" s="2">
        <v>4500</v>
      </c>
      <c r="I37" s="2">
        <v>3398</v>
      </c>
      <c r="J37" s="2">
        <v>1966</v>
      </c>
      <c r="K37" s="2">
        <v>1525</v>
      </c>
      <c r="L37" s="2">
        <v>4558</v>
      </c>
      <c r="M37" s="2">
        <v>2301</v>
      </c>
      <c r="N37" s="5">
        <v>6859</v>
      </c>
      <c r="O37" s="2">
        <v>3777</v>
      </c>
      <c r="P37" s="2">
        <v>3563</v>
      </c>
      <c r="Q37" s="2">
        <v>2133</v>
      </c>
      <c r="R37" s="2">
        <v>1706</v>
      </c>
      <c r="S37" s="2">
        <v>896</v>
      </c>
      <c r="T37" s="2">
        <v>506</v>
      </c>
    </row>
    <row r="38" spans="1:20" ht="21" x14ac:dyDescent="0.25">
      <c r="A38" s="3" t="s">
        <v>31</v>
      </c>
      <c r="B38" s="3" t="s">
        <v>32</v>
      </c>
      <c r="C38" s="2">
        <v>8516</v>
      </c>
      <c r="D38" s="2">
        <v>7802</v>
      </c>
      <c r="E38" s="5">
        <v>16318</v>
      </c>
      <c r="F38" s="2">
        <v>2645</v>
      </c>
      <c r="G38" s="2">
        <v>5943</v>
      </c>
      <c r="H38" s="2">
        <v>2954</v>
      </c>
      <c r="I38" s="2">
        <v>2288</v>
      </c>
      <c r="J38" s="2">
        <v>1449</v>
      </c>
      <c r="K38" s="2">
        <v>1039</v>
      </c>
      <c r="L38" s="2">
        <v>2776</v>
      </c>
      <c r="M38" s="2">
        <v>1896</v>
      </c>
      <c r="N38" s="5">
        <v>4672</v>
      </c>
      <c r="O38" s="2">
        <v>2675</v>
      </c>
      <c r="P38" s="2">
        <v>2436</v>
      </c>
      <c r="Q38" s="2">
        <v>1371</v>
      </c>
      <c r="R38" s="2">
        <v>1213</v>
      </c>
      <c r="S38" s="2">
        <v>623</v>
      </c>
      <c r="T38" s="2">
        <v>344</v>
      </c>
    </row>
    <row r="39" spans="1:20" ht="21" x14ac:dyDescent="0.25">
      <c r="A39" s="3" t="s">
        <v>31</v>
      </c>
      <c r="B39" s="3" t="s">
        <v>30</v>
      </c>
      <c r="C39" s="2">
        <v>17177</v>
      </c>
      <c r="D39" s="2">
        <v>15922</v>
      </c>
      <c r="E39" s="5">
        <v>33099</v>
      </c>
      <c r="F39" s="2">
        <v>6450</v>
      </c>
      <c r="G39" s="2">
        <v>12141</v>
      </c>
      <c r="H39" s="2">
        <v>5789</v>
      </c>
      <c r="I39" s="2">
        <v>4162</v>
      </c>
      <c r="J39" s="2">
        <v>2466</v>
      </c>
      <c r="K39" s="2">
        <v>2091</v>
      </c>
      <c r="L39" s="2">
        <v>6503</v>
      </c>
      <c r="M39" s="2">
        <v>3750</v>
      </c>
      <c r="N39" s="5">
        <v>10253</v>
      </c>
      <c r="O39" s="2">
        <v>4414</v>
      </c>
      <c r="P39" s="2">
        <v>4150</v>
      </c>
      <c r="Q39" s="2">
        <v>2361</v>
      </c>
      <c r="R39" s="2">
        <v>1876</v>
      </c>
      <c r="S39" s="2">
        <v>1079</v>
      </c>
      <c r="T39" s="2">
        <v>597</v>
      </c>
    </row>
    <row r="40" spans="1:20" ht="21" x14ac:dyDescent="0.25">
      <c r="A40" s="3" t="s">
        <v>24</v>
      </c>
      <c r="B40" s="3" t="s">
        <v>29</v>
      </c>
      <c r="C40" s="2">
        <v>9946</v>
      </c>
      <c r="D40" s="2">
        <v>8262</v>
      </c>
      <c r="E40" s="5">
        <v>18208</v>
      </c>
      <c r="F40" s="2">
        <v>3163</v>
      </c>
      <c r="G40" s="2">
        <v>6417</v>
      </c>
      <c r="H40" s="2">
        <v>3392</v>
      </c>
      <c r="I40" s="2">
        <v>2549</v>
      </c>
      <c r="J40" s="2">
        <v>1458</v>
      </c>
      <c r="K40" s="2">
        <v>1229</v>
      </c>
      <c r="L40" s="2">
        <v>3615</v>
      </c>
      <c r="M40" s="2">
        <v>1546</v>
      </c>
      <c r="N40" s="5">
        <v>5161</v>
      </c>
      <c r="O40" s="2">
        <v>1806</v>
      </c>
      <c r="P40" s="2">
        <v>2067</v>
      </c>
      <c r="Q40" s="2">
        <v>1221</v>
      </c>
      <c r="R40" s="2">
        <v>956</v>
      </c>
      <c r="S40" s="2">
        <v>586</v>
      </c>
      <c r="T40" s="2">
        <v>341</v>
      </c>
    </row>
    <row r="41" spans="1:20" ht="21" x14ac:dyDescent="0.25">
      <c r="A41" s="3" t="s">
        <v>24</v>
      </c>
      <c r="B41" s="3" t="s">
        <v>28</v>
      </c>
      <c r="C41" s="2">
        <v>1653</v>
      </c>
      <c r="D41" s="2">
        <v>1730</v>
      </c>
      <c r="E41" s="5">
        <v>3383</v>
      </c>
      <c r="F41" s="2">
        <v>447</v>
      </c>
      <c r="G41" s="2">
        <v>1236</v>
      </c>
      <c r="H41" s="2">
        <v>644</v>
      </c>
      <c r="I41" s="2">
        <v>456</v>
      </c>
      <c r="J41" s="2">
        <v>309</v>
      </c>
      <c r="K41" s="2">
        <v>291</v>
      </c>
      <c r="L41" s="2">
        <v>612</v>
      </c>
      <c r="M41" s="2">
        <v>360</v>
      </c>
      <c r="N41" s="5">
        <v>972</v>
      </c>
      <c r="O41" s="2">
        <v>305</v>
      </c>
      <c r="P41" s="2">
        <v>426</v>
      </c>
      <c r="Q41" s="2">
        <v>216</v>
      </c>
      <c r="R41" s="2">
        <v>222</v>
      </c>
      <c r="S41" s="2">
        <v>127</v>
      </c>
      <c r="T41" s="2">
        <v>66</v>
      </c>
    </row>
    <row r="42" spans="1:20" ht="21" x14ac:dyDescent="0.25">
      <c r="A42" s="3" t="s">
        <v>24</v>
      </c>
      <c r="B42" s="3" t="s">
        <v>27</v>
      </c>
      <c r="C42" s="2">
        <v>2571</v>
      </c>
      <c r="D42" s="2">
        <v>2278</v>
      </c>
      <c r="E42" s="5">
        <v>4849</v>
      </c>
      <c r="F42" s="2">
        <v>521</v>
      </c>
      <c r="G42" s="2">
        <v>1878</v>
      </c>
      <c r="H42" s="2">
        <v>995</v>
      </c>
      <c r="I42" s="2">
        <v>695</v>
      </c>
      <c r="J42" s="2">
        <v>393</v>
      </c>
      <c r="K42" s="2">
        <v>367</v>
      </c>
      <c r="L42" s="2">
        <v>982</v>
      </c>
      <c r="M42" s="2">
        <v>407</v>
      </c>
      <c r="N42" s="5">
        <v>1389</v>
      </c>
      <c r="O42" s="2">
        <v>726</v>
      </c>
      <c r="P42" s="2">
        <v>869</v>
      </c>
      <c r="Q42" s="2">
        <v>495</v>
      </c>
      <c r="R42" s="2">
        <v>383</v>
      </c>
      <c r="S42" s="2">
        <v>214</v>
      </c>
      <c r="T42" s="2">
        <v>115</v>
      </c>
    </row>
    <row r="43" spans="1:20" ht="21" x14ac:dyDescent="0.25">
      <c r="A43" s="3" t="s">
        <v>24</v>
      </c>
      <c r="B43" s="3" t="s">
        <v>26</v>
      </c>
      <c r="C43" s="2">
        <v>2137</v>
      </c>
      <c r="D43" s="2">
        <v>1801</v>
      </c>
      <c r="E43" s="5">
        <v>3938</v>
      </c>
      <c r="F43" s="2">
        <v>569</v>
      </c>
      <c r="G43" s="2">
        <v>1478</v>
      </c>
      <c r="H43" s="2">
        <v>795</v>
      </c>
      <c r="I43" s="2">
        <v>540</v>
      </c>
      <c r="J43" s="2">
        <v>329</v>
      </c>
      <c r="K43" s="2">
        <v>227</v>
      </c>
      <c r="L43" s="2">
        <v>885</v>
      </c>
      <c r="M43" s="2">
        <v>330</v>
      </c>
      <c r="N43" s="5">
        <v>1215</v>
      </c>
      <c r="O43" s="2">
        <v>534</v>
      </c>
      <c r="P43" s="2">
        <v>684</v>
      </c>
      <c r="Q43" s="2">
        <v>378</v>
      </c>
      <c r="R43" s="2">
        <v>251</v>
      </c>
      <c r="S43" s="2">
        <v>126</v>
      </c>
      <c r="T43" s="2">
        <v>65</v>
      </c>
    </row>
    <row r="44" spans="1:20" ht="21" x14ac:dyDescent="0.25">
      <c r="A44" s="3" t="s">
        <v>24</v>
      </c>
      <c r="B44" s="3" t="s">
        <v>25</v>
      </c>
      <c r="C44" s="2">
        <v>12985</v>
      </c>
      <c r="D44" s="2">
        <v>12409</v>
      </c>
      <c r="E44" s="5">
        <v>25394</v>
      </c>
      <c r="F44" s="2">
        <v>4698</v>
      </c>
      <c r="G44" s="2">
        <v>9534</v>
      </c>
      <c r="H44" s="2">
        <v>4942</v>
      </c>
      <c r="I44" s="2">
        <v>3041</v>
      </c>
      <c r="J44" s="2">
        <v>1744</v>
      </c>
      <c r="K44" s="2">
        <v>1435</v>
      </c>
      <c r="L44" s="2">
        <v>5735</v>
      </c>
      <c r="M44" s="2">
        <v>4104</v>
      </c>
      <c r="N44" s="5">
        <v>9839</v>
      </c>
      <c r="O44" s="2">
        <v>4437</v>
      </c>
      <c r="P44" s="2">
        <v>4071</v>
      </c>
      <c r="Q44" s="2">
        <v>2144</v>
      </c>
      <c r="R44" s="2">
        <v>1613</v>
      </c>
      <c r="S44" s="2">
        <v>831</v>
      </c>
      <c r="T44" s="2">
        <v>474</v>
      </c>
    </row>
    <row r="45" spans="1:20" ht="21" x14ac:dyDescent="0.25">
      <c r="A45" s="3" t="s">
        <v>24</v>
      </c>
      <c r="B45" s="3" t="s">
        <v>23</v>
      </c>
      <c r="C45" s="2">
        <v>11144</v>
      </c>
      <c r="D45" s="2">
        <v>11325</v>
      </c>
      <c r="E45" s="5">
        <v>22469</v>
      </c>
      <c r="F45" s="2">
        <v>4919</v>
      </c>
      <c r="G45" s="2">
        <v>8064</v>
      </c>
      <c r="H45" s="2">
        <v>3953</v>
      </c>
      <c r="I45" s="2">
        <v>2622</v>
      </c>
      <c r="J45" s="2">
        <v>1629</v>
      </c>
      <c r="K45" s="2">
        <v>1282</v>
      </c>
      <c r="L45" s="2">
        <v>5826</v>
      </c>
      <c r="M45" s="2">
        <v>4640</v>
      </c>
      <c r="N45" s="5">
        <v>10466</v>
      </c>
      <c r="O45" s="2">
        <v>3347</v>
      </c>
      <c r="P45" s="2">
        <v>2781</v>
      </c>
      <c r="Q45" s="2">
        <v>1542</v>
      </c>
      <c r="R45" s="2">
        <v>1156</v>
      </c>
      <c r="S45" s="2">
        <v>654</v>
      </c>
      <c r="T45" s="2">
        <v>401</v>
      </c>
    </row>
    <row r="46" spans="1:20" ht="21" x14ac:dyDescent="0.25">
      <c r="A46" s="3" t="s">
        <v>18</v>
      </c>
      <c r="B46" s="3" t="s">
        <v>22</v>
      </c>
      <c r="C46" s="2">
        <v>12384</v>
      </c>
      <c r="D46" s="2">
        <v>10297</v>
      </c>
      <c r="E46" s="5">
        <v>22681</v>
      </c>
      <c r="F46" s="2">
        <v>3948</v>
      </c>
      <c r="G46" s="2">
        <v>8302</v>
      </c>
      <c r="H46" s="2">
        <v>4607</v>
      </c>
      <c r="I46" s="2">
        <v>2935</v>
      </c>
      <c r="J46" s="2">
        <v>1725</v>
      </c>
      <c r="K46" s="2">
        <v>1164</v>
      </c>
      <c r="L46" s="2">
        <v>5407</v>
      </c>
      <c r="M46" s="2">
        <v>2298</v>
      </c>
      <c r="N46" s="5">
        <v>7705</v>
      </c>
      <c r="O46" s="2">
        <v>3121</v>
      </c>
      <c r="P46" s="2">
        <v>3496</v>
      </c>
      <c r="Q46" s="2">
        <v>1962</v>
      </c>
      <c r="R46" s="2">
        <v>1325</v>
      </c>
      <c r="S46" s="2">
        <v>663</v>
      </c>
      <c r="T46" s="2">
        <v>308</v>
      </c>
    </row>
    <row r="47" spans="1:20" ht="21" x14ac:dyDescent="0.25">
      <c r="A47" s="3" t="s">
        <v>18</v>
      </c>
      <c r="B47" s="3" t="s">
        <v>21</v>
      </c>
      <c r="C47" s="2">
        <v>4510</v>
      </c>
      <c r="D47" s="2">
        <v>4396</v>
      </c>
      <c r="E47" s="5">
        <v>8906</v>
      </c>
      <c r="F47" s="2">
        <v>1793</v>
      </c>
      <c r="G47" s="2">
        <v>3062</v>
      </c>
      <c r="H47" s="2">
        <v>1765</v>
      </c>
      <c r="I47" s="2">
        <v>1043</v>
      </c>
      <c r="J47" s="2">
        <v>654</v>
      </c>
      <c r="K47" s="2">
        <v>589</v>
      </c>
      <c r="L47" s="2">
        <v>2051</v>
      </c>
      <c r="M47" s="2">
        <v>1502</v>
      </c>
      <c r="N47" s="5">
        <v>3553</v>
      </c>
      <c r="O47" s="2">
        <v>1446</v>
      </c>
      <c r="P47" s="2">
        <v>1574</v>
      </c>
      <c r="Q47" s="2">
        <v>829</v>
      </c>
      <c r="R47" s="2">
        <v>542</v>
      </c>
      <c r="S47" s="2">
        <v>306</v>
      </c>
      <c r="T47" s="2">
        <v>171</v>
      </c>
    </row>
    <row r="48" spans="1:20" ht="21" x14ac:dyDescent="0.25">
      <c r="A48" s="3" t="s">
        <v>18</v>
      </c>
      <c r="B48" s="3" t="s">
        <v>20</v>
      </c>
      <c r="C48" s="2">
        <v>5627</v>
      </c>
      <c r="D48" s="2">
        <v>4964</v>
      </c>
      <c r="E48" s="5">
        <v>10591</v>
      </c>
      <c r="F48" s="2">
        <v>2291</v>
      </c>
      <c r="G48" s="2">
        <v>3696</v>
      </c>
      <c r="H48" s="2">
        <v>1784</v>
      </c>
      <c r="I48" s="2">
        <v>1337</v>
      </c>
      <c r="J48" s="2">
        <v>770</v>
      </c>
      <c r="K48" s="2">
        <v>713</v>
      </c>
      <c r="L48" s="2">
        <v>2662</v>
      </c>
      <c r="M48" s="2">
        <v>1445</v>
      </c>
      <c r="N48" s="5">
        <v>4107</v>
      </c>
      <c r="O48" s="2">
        <v>1482</v>
      </c>
      <c r="P48" s="2">
        <v>1526</v>
      </c>
      <c r="Q48" s="2">
        <v>840</v>
      </c>
      <c r="R48" s="2">
        <v>641</v>
      </c>
      <c r="S48" s="2">
        <v>379</v>
      </c>
      <c r="T48" s="2">
        <v>201</v>
      </c>
    </row>
    <row r="49" spans="1:20" ht="21" x14ac:dyDescent="0.25">
      <c r="A49" s="3" t="s">
        <v>18</v>
      </c>
      <c r="B49" s="3" t="s">
        <v>19</v>
      </c>
      <c r="C49" s="2">
        <v>10778</v>
      </c>
      <c r="D49" s="2">
        <v>8255</v>
      </c>
      <c r="E49" s="5">
        <v>19033</v>
      </c>
      <c r="F49" s="2">
        <v>3944</v>
      </c>
      <c r="G49" s="2">
        <v>6798</v>
      </c>
      <c r="H49" s="2">
        <v>3261</v>
      </c>
      <c r="I49" s="2">
        <v>2336</v>
      </c>
      <c r="J49" s="2">
        <v>1608</v>
      </c>
      <c r="K49" s="2">
        <v>1086</v>
      </c>
      <c r="L49" s="2">
        <v>6065</v>
      </c>
      <c r="M49" s="2">
        <v>3199</v>
      </c>
      <c r="N49" s="5">
        <v>9264</v>
      </c>
      <c r="O49" s="2">
        <v>3563</v>
      </c>
      <c r="P49" s="2">
        <v>3306</v>
      </c>
      <c r="Q49" s="2">
        <v>1845</v>
      </c>
      <c r="R49" s="2">
        <v>1483</v>
      </c>
      <c r="S49" s="2">
        <v>748</v>
      </c>
      <c r="T49" s="2">
        <v>369</v>
      </c>
    </row>
    <row r="50" spans="1:20" ht="21" x14ac:dyDescent="0.25">
      <c r="A50" s="3" t="s">
        <v>18</v>
      </c>
      <c r="B50" s="3" t="s">
        <v>17</v>
      </c>
      <c r="C50" s="2">
        <v>1332</v>
      </c>
      <c r="D50" s="2">
        <v>1480</v>
      </c>
      <c r="E50" s="5">
        <v>2812</v>
      </c>
      <c r="F50" s="2">
        <v>459</v>
      </c>
      <c r="G50" s="2">
        <v>1104</v>
      </c>
      <c r="H50" s="2">
        <v>514</v>
      </c>
      <c r="I50" s="2">
        <v>352</v>
      </c>
      <c r="J50" s="2">
        <v>233</v>
      </c>
      <c r="K50" s="2">
        <v>150</v>
      </c>
      <c r="L50" s="2">
        <v>671</v>
      </c>
      <c r="M50" s="2">
        <v>501</v>
      </c>
      <c r="N50" s="5">
        <v>1172</v>
      </c>
      <c r="O50" s="2">
        <v>521</v>
      </c>
      <c r="P50" s="2">
        <v>586</v>
      </c>
      <c r="Q50" s="2">
        <v>261</v>
      </c>
      <c r="R50" s="2">
        <v>215</v>
      </c>
      <c r="S50" s="2">
        <v>114</v>
      </c>
      <c r="T50" s="2">
        <v>45</v>
      </c>
    </row>
    <row r="51" spans="1:20" ht="21" x14ac:dyDescent="0.25">
      <c r="A51" s="3" t="s">
        <v>11</v>
      </c>
      <c r="B51" s="3" t="s">
        <v>16</v>
      </c>
      <c r="C51" s="2">
        <v>4573</v>
      </c>
      <c r="D51" s="2">
        <v>4082</v>
      </c>
      <c r="E51" s="5">
        <v>8655</v>
      </c>
      <c r="F51" s="2">
        <v>1400</v>
      </c>
      <c r="G51" s="2">
        <v>3219</v>
      </c>
      <c r="H51" s="2">
        <v>1716</v>
      </c>
      <c r="I51" s="2">
        <v>1093</v>
      </c>
      <c r="J51" s="2">
        <v>729</v>
      </c>
      <c r="K51" s="2">
        <v>498</v>
      </c>
      <c r="L51" s="2">
        <v>1471</v>
      </c>
      <c r="M51" s="2">
        <v>537</v>
      </c>
      <c r="N51" s="5">
        <v>2008</v>
      </c>
      <c r="O51" s="2">
        <v>1279</v>
      </c>
      <c r="P51" s="2">
        <v>1479</v>
      </c>
      <c r="Q51" s="2">
        <v>701</v>
      </c>
      <c r="R51" s="2">
        <v>524</v>
      </c>
      <c r="S51" s="2">
        <v>296</v>
      </c>
      <c r="T51" s="2">
        <v>159</v>
      </c>
    </row>
    <row r="52" spans="1:20" ht="21" x14ac:dyDescent="0.25">
      <c r="A52" s="3" t="s">
        <v>11</v>
      </c>
      <c r="B52" s="3" t="s">
        <v>15</v>
      </c>
      <c r="C52" s="2">
        <v>10728</v>
      </c>
      <c r="D52" s="2">
        <v>9711</v>
      </c>
      <c r="E52" s="5">
        <v>20439</v>
      </c>
      <c r="F52" s="2">
        <v>3368</v>
      </c>
      <c r="G52" s="2">
        <v>7489</v>
      </c>
      <c r="H52" s="2">
        <v>3635</v>
      </c>
      <c r="I52" s="2">
        <v>2689</v>
      </c>
      <c r="J52" s="2">
        <v>1771</v>
      </c>
      <c r="K52" s="2">
        <v>1487</v>
      </c>
      <c r="L52" s="2">
        <v>4480</v>
      </c>
      <c r="M52" s="2">
        <v>2423</v>
      </c>
      <c r="N52" s="5">
        <v>6903</v>
      </c>
      <c r="O52" s="2">
        <v>2482</v>
      </c>
      <c r="P52" s="2">
        <v>2755</v>
      </c>
      <c r="Q52" s="2">
        <v>1549</v>
      </c>
      <c r="R52" s="2">
        <v>1239</v>
      </c>
      <c r="S52" s="2">
        <v>761</v>
      </c>
      <c r="T52" s="2">
        <v>429</v>
      </c>
    </row>
    <row r="53" spans="1:20" ht="21" x14ac:dyDescent="0.25">
      <c r="A53" s="3" t="s">
        <v>11</v>
      </c>
      <c r="B53" s="3" t="s">
        <v>14</v>
      </c>
      <c r="C53" s="2">
        <v>3492</v>
      </c>
      <c r="D53" s="2">
        <v>3185</v>
      </c>
      <c r="E53" s="5">
        <v>6677</v>
      </c>
      <c r="F53" s="2">
        <v>1003</v>
      </c>
      <c r="G53" s="2">
        <v>2270</v>
      </c>
      <c r="H53" s="2">
        <v>1400</v>
      </c>
      <c r="I53" s="2">
        <v>929</v>
      </c>
      <c r="J53" s="2">
        <v>505</v>
      </c>
      <c r="K53" s="2">
        <v>570</v>
      </c>
      <c r="L53" s="2">
        <v>1328</v>
      </c>
      <c r="M53" s="2">
        <v>615</v>
      </c>
      <c r="N53" s="5">
        <v>1943</v>
      </c>
      <c r="O53" s="2">
        <v>1208</v>
      </c>
      <c r="P53" s="2">
        <v>1243</v>
      </c>
      <c r="Q53" s="2">
        <v>808</v>
      </c>
      <c r="R53" s="2">
        <v>510</v>
      </c>
      <c r="S53" s="2">
        <v>283</v>
      </c>
      <c r="T53" s="2">
        <v>231</v>
      </c>
    </row>
    <row r="54" spans="1:20" ht="21" x14ac:dyDescent="0.25">
      <c r="A54" s="3" t="s">
        <v>11</v>
      </c>
      <c r="B54" s="3" t="s">
        <v>13</v>
      </c>
      <c r="C54" s="2">
        <v>3393</v>
      </c>
      <c r="D54" s="2">
        <v>3066</v>
      </c>
      <c r="E54" s="5">
        <v>6459</v>
      </c>
      <c r="F54" s="2">
        <v>1009</v>
      </c>
      <c r="G54" s="2">
        <v>2246</v>
      </c>
      <c r="H54" s="2">
        <v>1276</v>
      </c>
      <c r="I54" s="2">
        <v>853</v>
      </c>
      <c r="J54" s="2">
        <v>571</v>
      </c>
      <c r="K54" s="2">
        <v>504</v>
      </c>
      <c r="L54" s="2">
        <v>1321</v>
      </c>
      <c r="M54" s="2">
        <v>561</v>
      </c>
      <c r="N54" s="5">
        <v>1882</v>
      </c>
      <c r="O54" s="2">
        <v>1097</v>
      </c>
      <c r="P54" s="2">
        <v>1039</v>
      </c>
      <c r="Q54" s="2">
        <v>579</v>
      </c>
      <c r="R54" s="2">
        <v>453</v>
      </c>
      <c r="S54" s="2">
        <v>246</v>
      </c>
      <c r="T54" s="2">
        <v>189</v>
      </c>
    </row>
    <row r="55" spans="1:20" ht="21" x14ac:dyDescent="0.25">
      <c r="A55" s="3" t="s">
        <v>11</v>
      </c>
      <c r="B55" s="3" t="s">
        <v>12</v>
      </c>
      <c r="C55" s="2">
        <v>2172</v>
      </c>
      <c r="D55" s="2">
        <v>2144</v>
      </c>
      <c r="E55" s="5">
        <v>4316</v>
      </c>
      <c r="F55" s="2">
        <v>916</v>
      </c>
      <c r="G55" s="2">
        <v>1564</v>
      </c>
      <c r="H55" s="2">
        <v>632</v>
      </c>
      <c r="I55" s="2">
        <v>530</v>
      </c>
      <c r="J55" s="2">
        <v>329</v>
      </c>
      <c r="K55" s="2">
        <v>345</v>
      </c>
      <c r="L55" s="2">
        <v>1141</v>
      </c>
      <c r="M55" s="2">
        <v>765</v>
      </c>
      <c r="N55" s="5">
        <v>1906</v>
      </c>
      <c r="O55" s="2">
        <v>850</v>
      </c>
      <c r="P55" s="2">
        <v>725</v>
      </c>
      <c r="Q55" s="2">
        <v>369</v>
      </c>
      <c r="R55" s="2">
        <v>340</v>
      </c>
      <c r="S55" s="2">
        <v>192</v>
      </c>
      <c r="T55" s="2">
        <v>176</v>
      </c>
    </row>
    <row r="56" spans="1:20" ht="21" x14ac:dyDescent="0.25">
      <c r="A56" s="3" t="s">
        <v>11</v>
      </c>
      <c r="B56" s="3" t="s">
        <v>10</v>
      </c>
      <c r="C56" s="2">
        <v>3424</v>
      </c>
      <c r="D56" s="2">
        <v>3389</v>
      </c>
      <c r="E56" s="5">
        <v>6813</v>
      </c>
      <c r="F56" s="2">
        <v>1381</v>
      </c>
      <c r="G56" s="2">
        <v>2352</v>
      </c>
      <c r="H56" s="2">
        <v>1217</v>
      </c>
      <c r="I56" s="2">
        <v>828</v>
      </c>
      <c r="J56" s="2">
        <v>540</v>
      </c>
      <c r="K56" s="2">
        <v>495</v>
      </c>
      <c r="L56" s="2">
        <v>1710</v>
      </c>
      <c r="M56" s="2">
        <v>1226</v>
      </c>
      <c r="N56" s="5">
        <v>2936</v>
      </c>
      <c r="O56" s="2">
        <v>1019</v>
      </c>
      <c r="P56" s="2">
        <v>1051</v>
      </c>
      <c r="Q56" s="2">
        <v>533</v>
      </c>
      <c r="R56" s="2">
        <v>505</v>
      </c>
      <c r="S56" s="2">
        <v>299</v>
      </c>
      <c r="T56" s="2">
        <v>194</v>
      </c>
    </row>
    <row r="57" spans="1:20" ht="21" x14ac:dyDescent="0.25">
      <c r="A57" s="3" t="s">
        <v>7</v>
      </c>
      <c r="B57" s="3" t="s">
        <v>9</v>
      </c>
      <c r="C57" s="2">
        <v>13017</v>
      </c>
      <c r="D57" s="2">
        <v>10246</v>
      </c>
      <c r="E57" s="5">
        <v>23263</v>
      </c>
      <c r="F57" s="2">
        <v>3151</v>
      </c>
      <c r="G57" s="2">
        <v>8771</v>
      </c>
      <c r="H57" s="2">
        <v>4599</v>
      </c>
      <c r="I57" s="2">
        <v>2977</v>
      </c>
      <c r="J57" s="2">
        <v>2187</v>
      </c>
      <c r="K57" s="2">
        <v>1578</v>
      </c>
      <c r="L57" s="2">
        <v>4781</v>
      </c>
      <c r="M57" s="2">
        <v>2081</v>
      </c>
      <c r="N57" s="5">
        <v>6862</v>
      </c>
      <c r="O57" s="2">
        <v>2213</v>
      </c>
      <c r="P57" s="2">
        <v>2681</v>
      </c>
      <c r="Q57" s="2">
        <v>1533</v>
      </c>
      <c r="R57" s="2">
        <v>1283</v>
      </c>
      <c r="S57" s="2">
        <v>766</v>
      </c>
      <c r="T57" s="2">
        <v>379</v>
      </c>
    </row>
    <row r="58" spans="1:20" ht="21" x14ac:dyDescent="0.25">
      <c r="A58" s="3" t="s">
        <v>7</v>
      </c>
      <c r="B58" s="3" t="s">
        <v>8</v>
      </c>
      <c r="C58" s="2">
        <v>2413</v>
      </c>
      <c r="D58" s="2">
        <v>1820</v>
      </c>
      <c r="E58" s="5">
        <v>4233</v>
      </c>
      <c r="F58" s="2">
        <v>658</v>
      </c>
      <c r="G58" s="2">
        <v>1491</v>
      </c>
      <c r="H58" s="2">
        <v>812</v>
      </c>
      <c r="I58" s="2">
        <v>529</v>
      </c>
      <c r="J58" s="2">
        <v>382</v>
      </c>
      <c r="K58" s="2">
        <v>361</v>
      </c>
      <c r="L58" s="2">
        <v>930</v>
      </c>
      <c r="M58" s="2">
        <v>402</v>
      </c>
      <c r="N58" s="5">
        <v>1332</v>
      </c>
      <c r="O58" s="2">
        <v>576</v>
      </c>
      <c r="P58" s="2">
        <v>598</v>
      </c>
      <c r="Q58" s="2">
        <v>318</v>
      </c>
      <c r="R58" s="2">
        <v>297</v>
      </c>
      <c r="S58" s="2">
        <v>168</v>
      </c>
      <c r="T58" s="2">
        <v>112</v>
      </c>
    </row>
    <row r="59" spans="1:20" ht="21" x14ac:dyDescent="0.25">
      <c r="A59" s="3" t="s">
        <v>7</v>
      </c>
      <c r="B59" s="3" t="s">
        <v>6</v>
      </c>
      <c r="C59" s="2">
        <v>3110</v>
      </c>
      <c r="D59" s="2">
        <v>3149</v>
      </c>
      <c r="E59" s="5">
        <v>6259</v>
      </c>
      <c r="F59" s="2">
        <v>611</v>
      </c>
      <c r="G59" s="2">
        <v>2327</v>
      </c>
      <c r="H59" s="2">
        <v>1384</v>
      </c>
      <c r="I59" s="2">
        <v>799</v>
      </c>
      <c r="J59" s="2">
        <v>534</v>
      </c>
      <c r="K59" s="2">
        <v>604</v>
      </c>
      <c r="L59" s="2">
        <v>1242</v>
      </c>
      <c r="M59" s="2">
        <v>554</v>
      </c>
      <c r="N59" s="5">
        <v>1796</v>
      </c>
      <c r="O59" s="2">
        <v>783</v>
      </c>
      <c r="P59" s="2">
        <v>1000</v>
      </c>
      <c r="Q59" s="2">
        <v>649</v>
      </c>
      <c r="R59" s="2">
        <v>448</v>
      </c>
      <c r="S59" s="2">
        <v>322</v>
      </c>
      <c r="T59" s="2">
        <v>203</v>
      </c>
    </row>
    <row r="60" spans="1:20" ht="21" x14ac:dyDescent="0.25">
      <c r="A60" s="3" t="s">
        <v>2</v>
      </c>
      <c r="B60" s="3" t="s">
        <v>5</v>
      </c>
      <c r="C60" s="2">
        <v>655</v>
      </c>
      <c r="D60" s="2">
        <v>600</v>
      </c>
      <c r="E60" s="5">
        <v>1255</v>
      </c>
      <c r="F60" s="2">
        <v>396</v>
      </c>
      <c r="G60" s="2">
        <v>370</v>
      </c>
      <c r="H60" s="2">
        <v>175</v>
      </c>
      <c r="I60" s="2">
        <v>145</v>
      </c>
      <c r="J60" s="2">
        <v>89</v>
      </c>
      <c r="K60" s="2">
        <v>80</v>
      </c>
      <c r="L60" s="2">
        <v>507</v>
      </c>
      <c r="M60" s="2">
        <v>342</v>
      </c>
      <c r="N60" s="5">
        <v>849</v>
      </c>
      <c r="O60" s="2">
        <v>440</v>
      </c>
      <c r="P60" s="2">
        <v>204</v>
      </c>
      <c r="Q60" s="2">
        <v>141</v>
      </c>
      <c r="R60" s="2">
        <v>121</v>
      </c>
      <c r="S60" s="2">
        <v>66</v>
      </c>
      <c r="T60" s="2">
        <v>43</v>
      </c>
    </row>
    <row r="61" spans="1:20" ht="21" x14ac:dyDescent="0.25">
      <c r="A61" s="3" t="s">
        <v>2</v>
      </c>
      <c r="B61" s="3" t="s">
        <v>4</v>
      </c>
      <c r="C61" s="2">
        <v>2550</v>
      </c>
      <c r="D61" s="2">
        <v>2246</v>
      </c>
      <c r="E61" s="5">
        <v>4796</v>
      </c>
      <c r="F61" s="2">
        <v>1164</v>
      </c>
      <c r="G61" s="2">
        <v>1341</v>
      </c>
      <c r="H61" s="2">
        <v>761</v>
      </c>
      <c r="I61" s="2">
        <v>542</v>
      </c>
      <c r="J61" s="2">
        <v>427</v>
      </c>
      <c r="K61" s="2">
        <v>561</v>
      </c>
      <c r="L61" s="2">
        <v>1753</v>
      </c>
      <c r="M61" s="2">
        <v>1216</v>
      </c>
      <c r="N61" s="5">
        <v>2969</v>
      </c>
      <c r="O61" s="2">
        <v>957</v>
      </c>
      <c r="P61" s="2">
        <v>809</v>
      </c>
      <c r="Q61" s="2">
        <v>550</v>
      </c>
      <c r="R61" s="2">
        <v>388</v>
      </c>
      <c r="S61" s="2">
        <v>298</v>
      </c>
      <c r="T61" s="2">
        <v>186</v>
      </c>
    </row>
    <row r="62" spans="1:20" ht="21" x14ac:dyDescent="0.25">
      <c r="A62" s="3" t="s">
        <v>2</v>
      </c>
      <c r="B62" s="3" t="s">
        <v>3</v>
      </c>
      <c r="C62" s="2">
        <v>1342</v>
      </c>
      <c r="D62" s="2">
        <v>1229</v>
      </c>
      <c r="E62" s="5">
        <v>2571</v>
      </c>
      <c r="F62" s="2">
        <v>850</v>
      </c>
      <c r="G62" s="2">
        <v>751</v>
      </c>
      <c r="H62" s="2">
        <v>371</v>
      </c>
      <c r="I62" s="2">
        <v>287</v>
      </c>
      <c r="J62" s="2">
        <v>163</v>
      </c>
      <c r="K62" s="2">
        <v>149</v>
      </c>
      <c r="L62" s="2">
        <v>1010</v>
      </c>
      <c r="M62" s="2">
        <v>768</v>
      </c>
      <c r="N62" s="5">
        <v>1778</v>
      </c>
      <c r="O62" s="2">
        <v>683</v>
      </c>
      <c r="P62" s="2">
        <v>435</v>
      </c>
      <c r="Q62" s="2">
        <v>287</v>
      </c>
      <c r="R62" s="2">
        <v>208</v>
      </c>
      <c r="S62" s="2">
        <v>129</v>
      </c>
      <c r="T62" s="2">
        <v>73</v>
      </c>
    </row>
    <row r="63" spans="1:20" ht="21" x14ac:dyDescent="0.25">
      <c r="A63" s="3" t="s">
        <v>2</v>
      </c>
      <c r="B63" s="3" t="s">
        <v>1</v>
      </c>
      <c r="C63" s="2">
        <v>831</v>
      </c>
      <c r="D63" s="2">
        <v>774</v>
      </c>
      <c r="E63" s="5">
        <v>1605</v>
      </c>
      <c r="F63" s="2">
        <v>530</v>
      </c>
      <c r="G63" s="2">
        <v>471</v>
      </c>
      <c r="H63" s="2">
        <v>210</v>
      </c>
      <c r="I63" s="2">
        <v>191</v>
      </c>
      <c r="J63" s="2">
        <v>101</v>
      </c>
      <c r="K63" s="2">
        <v>102</v>
      </c>
      <c r="L63" s="2">
        <v>552</v>
      </c>
      <c r="M63" s="2">
        <v>417</v>
      </c>
      <c r="N63" s="5">
        <v>969</v>
      </c>
      <c r="O63" s="2">
        <v>398</v>
      </c>
      <c r="P63" s="2">
        <v>243</v>
      </c>
      <c r="Q63" s="2">
        <v>186</v>
      </c>
      <c r="R63" s="2">
        <v>116</v>
      </c>
      <c r="S63" s="2">
        <v>82</v>
      </c>
      <c r="T63" s="2">
        <v>40</v>
      </c>
    </row>
    <row r="64" spans="1:20" ht="21" x14ac:dyDescent="0.25">
      <c r="A64" s="9" t="s">
        <v>0</v>
      </c>
      <c r="B64" s="9"/>
      <c r="C64" s="1">
        <f>SUM(C3:C63)</f>
        <v>333733</v>
      </c>
      <c r="D64" s="1">
        <f t="shared" ref="D64:M64" si="0">SUM(D3:D63)</f>
        <v>289491</v>
      </c>
      <c r="E64" s="6">
        <f t="shared" si="0"/>
        <v>623224</v>
      </c>
      <c r="F64" s="1">
        <f t="shared" si="0"/>
        <v>109276</v>
      </c>
      <c r="G64" s="1">
        <f t="shared" si="0"/>
        <v>229343</v>
      </c>
      <c r="H64" s="1">
        <f t="shared" si="0"/>
        <v>118980</v>
      </c>
      <c r="I64" s="1">
        <f t="shared" si="0"/>
        <v>79649</v>
      </c>
      <c r="J64" s="1">
        <f t="shared" si="0"/>
        <v>48918</v>
      </c>
      <c r="K64" s="1">
        <f t="shared" si="0"/>
        <v>37058</v>
      </c>
      <c r="L64" s="1">
        <f t="shared" si="0"/>
        <v>138234</v>
      </c>
      <c r="M64" s="1">
        <f t="shared" si="0"/>
        <v>80545</v>
      </c>
      <c r="N64" s="5">
        <f>SUM(N3:N63)</f>
        <v>218779</v>
      </c>
      <c r="O64" s="1">
        <v>89477</v>
      </c>
      <c r="P64" s="1">
        <v>91013</v>
      </c>
      <c r="Q64" s="1">
        <v>50870</v>
      </c>
      <c r="R64" s="1">
        <v>37788</v>
      </c>
      <c r="S64" s="1">
        <v>20704</v>
      </c>
      <c r="T64" s="1">
        <v>11038</v>
      </c>
    </row>
    <row r="65" spans="5:5" ht="21" x14ac:dyDescent="0.25">
      <c r="E65" s="7"/>
    </row>
  </sheetData>
  <mergeCells count="7">
    <mergeCell ref="O1:T1"/>
    <mergeCell ref="A64:B64"/>
    <mergeCell ref="B1:B2"/>
    <mergeCell ref="C1:E1"/>
    <mergeCell ref="L1:N1"/>
    <mergeCell ref="F1:K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rightToLeft="1" tabSelected="1" workbookViewId="0">
      <selection activeCell="B8" sqref="B8"/>
    </sheetView>
  </sheetViews>
  <sheetFormatPr defaultRowHeight="15" x14ac:dyDescent="0.25"/>
  <cols>
    <col min="1" max="1" width="32.85546875" customWidth="1"/>
    <col min="2" max="2" width="55.7109375" customWidth="1"/>
  </cols>
  <sheetData>
    <row r="1" spans="1:2" ht="15.75" x14ac:dyDescent="0.25">
      <c r="A1" s="13" t="s">
        <v>88</v>
      </c>
      <c r="B1" s="14" t="s">
        <v>89</v>
      </c>
    </row>
    <row r="2" spans="1:2" ht="15.75" x14ac:dyDescent="0.25">
      <c r="A2" s="15" t="s">
        <v>90</v>
      </c>
      <c r="B2" s="16" t="s">
        <v>114</v>
      </c>
    </row>
    <row r="3" spans="1:2" ht="15.75" x14ac:dyDescent="0.25">
      <c r="A3" s="17" t="s">
        <v>91</v>
      </c>
      <c r="B3" s="18" t="s">
        <v>92</v>
      </c>
    </row>
    <row r="4" spans="1:2" ht="15.75" x14ac:dyDescent="0.25">
      <c r="A4" s="15" t="s">
        <v>93</v>
      </c>
      <c r="B4" s="16" t="s">
        <v>113</v>
      </c>
    </row>
    <row r="5" spans="1:2" ht="15.75" x14ac:dyDescent="0.25">
      <c r="A5" s="17" t="s">
        <v>94</v>
      </c>
      <c r="B5" s="19">
        <v>45778</v>
      </c>
    </row>
    <row r="6" spans="1:2" ht="15.75" x14ac:dyDescent="0.25">
      <c r="A6" s="15" t="s">
        <v>95</v>
      </c>
      <c r="B6" s="20" t="s">
        <v>96</v>
      </c>
    </row>
    <row r="7" spans="1:2" ht="15.75" x14ac:dyDescent="0.25">
      <c r="A7" s="17" t="s">
        <v>97</v>
      </c>
      <c r="B7" s="21" t="s">
        <v>98</v>
      </c>
    </row>
    <row r="8" spans="1:2" ht="15.75" x14ac:dyDescent="0.25">
      <c r="A8" s="22" t="s">
        <v>99</v>
      </c>
      <c r="B8" s="23">
        <v>2016</v>
      </c>
    </row>
    <row r="9" spans="1:2" ht="15.75" x14ac:dyDescent="0.25">
      <c r="A9" s="17" t="s">
        <v>100</v>
      </c>
      <c r="B9" s="18" t="s">
        <v>92</v>
      </c>
    </row>
    <row r="10" spans="1:2" ht="15.75" x14ac:dyDescent="0.25">
      <c r="A10" s="15" t="s">
        <v>101</v>
      </c>
      <c r="B10" s="16" t="s">
        <v>102</v>
      </c>
    </row>
    <row r="11" spans="1:2" ht="15.75" x14ac:dyDescent="0.25">
      <c r="A11" s="24" t="s">
        <v>103</v>
      </c>
      <c r="B11" s="25" t="s">
        <v>104</v>
      </c>
    </row>
    <row r="12" spans="1:2" ht="15.75" x14ac:dyDescent="0.25">
      <c r="A12" s="24" t="s">
        <v>105</v>
      </c>
      <c r="B12" s="25"/>
    </row>
    <row r="13" spans="1:2" ht="15.75" x14ac:dyDescent="0.25">
      <c r="A13" s="26" t="s">
        <v>106</v>
      </c>
      <c r="B13" s="27">
        <v>24686000</v>
      </c>
    </row>
    <row r="14" spans="1:2" ht="15.75" x14ac:dyDescent="0.25">
      <c r="A14" s="24" t="s">
        <v>107</v>
      </c>
      <c r="B14" s="25" t="s">
        <v>108</v>
      </c>
    </row>
    <row r="15" spans="1:2" ht="15.75" x14ac:dyDescent="0.25">
      <c r="A15" s="26" t="s">
        <v>109</v>
      </c>
      <c r="B15" s="16" t="s">
        <v>110</v>
      </c>
    </row>
    <row r="16" spans="1:2" ht="15.75" x14ac:dyDescent="0.25">
      <c r="A16" s="28" t="s">
        <v>111</v>
      </c>
      <c r="B16" s="25" t="s">
        <v>112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2016-M02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بن عبدالله بن راشد الحديدي</dc:creator>
  <cp:lastModifiedBy>mmhinai</cp:lastModifiedBy>
  <dcterms:created xsi:type="dcterms:W3CDTF">2024-09-23T09:06:54Z</dcterms:created>
  <dcterms:modified xsi:type="dcterms:W3CDTF">2025-04-15T07:33:52Z</dcterms:modified>
</cp:coreProperties>
</file>