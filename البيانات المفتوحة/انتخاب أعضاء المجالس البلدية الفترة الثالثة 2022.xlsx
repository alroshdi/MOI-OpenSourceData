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hosni\Downloads\"/>
    </mc:Choice>
  </mc:AlternateContent>
  <bookViews>
    <workbookView xWindow="0" yWindow="0" windowWidth="24000" windowHeight="9620"/>
  </bookViews>
  <sheets>
    <sheet name="الثالثة" sheetId="1" r:id="rId1"/>
    <sheet name="Meta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6" i="1" l="1"/>
  <c r="M66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4" i="1"/>
  <c r="N5" i="1"/>
  <c r="N6" i="1"/>
  <c r="N7" i="1"/>
  <c r="N3" i="1"/>
  <c r="T66" i="1" l="1"/>
  <c r="S66" i="1"/>
  <c r="R66" i="1"/>
  <c r="Q66" i="1"/>
  <c r="P66" i="1"/>
  <c r="O66" i="1"/>
  <c r="K66" i="1"/>
  <c r="J66" i="1"/>
  <c r="I66" i="1"/>
  <c r="H66" i="1"/>
  <c r="G66" i="1"/>
  <c r="F66" i="1"/>
  <c r="D66" i="1" l="1"/>
  <c r="E66" i="1"/>
  <c r="N66" i="1"/>
  <c r="C66" i="1"/>
</calcChain>
</file>

<file path=xl/sharedStrings.xml><?xml version="1.0" encoding="utf-8"?>
<sst xmlns="http://schemas.openxmlformats.org/spreadsheetml/2006/main" count="179" uniqueCount="120">
  <si>
    <t>الولايات</t>
  </si>
  <si>
    <t>المحافظة</t>
  </si>
  <si>
    <t>الناخبين</t>
  </si>
  <si>
    <t>عدد الناخبين الذكور</t>
  </si>
  <si>
    <t>عدد الناخبين الاناث</t>
  </si>
  <si>
    <t>اجمالي عدد الناخبين</t>
  </si>
  <si>
    <t>مسـقط</t>
  </si>
  <si>
    <t>محافظة مسقط</t>
  </si>
  <si>
    <t>السـيب</t>
  </si>
  <si>
    <t>مـطرح</t>
  </si>
  <si>
    <t>بوشـر</t>
  </si>
  <si>
    <t>العامـرات</t>
  </si>
  <si>
    <t>قريات</t>
  </si>
  <si>
    <t>صلالة</t>
  </si>
  <si>
    <t>محافظة ظفار</t>
  </si>
  <si>
    <t>ثـمـريت</t>
  </si>
  <si>
    <t>طاقة</t>
  </si>
  <si>
    <t>مرباط</t>
  </si>
  <si>
    <t>سدح</t>
  </si>
  <si>
    <t>رخيوت</t>
  </si>
  <si>
    <t>ضلكوت</t>
  </si>
  <si>
    <t>مقشن</t>
  </si>
  <si>
    <t>شليم وجزر الحلانيات</t>
  </si>
  <si>
    <t>المزيونة</t>
  </si>
  <si>
    <t>خصب</t>
  </si>
  <si>
    <t>محافظة مسندم</t>
  </si>
  <si>
    <t>بخاء</t>
  </si>
  <si>
    <t>دبا</t>
  </si>
  <si>
    <t>مدحاء</t>
  </si>
  <si>
    <t>البريمي</t>
  </si>
  <si>
    <t>محافظة البريمي</t>
  </si>
  <si>
    <t>محضة</t>
  </si>
  <si>
    <t>السنينة</t>
  </si>
  <si>
    <t>نزوى</t>
  </si>
  <si>
    <t>محافظة الداخلية</t>
  </si>
  <si>
    <t>سمائل</t>
  </si>
  <si>
    <t>بهلاء</t>
  </si>
  <si>
    <t>أدم</t>
  </si>
  <si>
    <t>الحمراء</t>
  </si>
  <si>
    <t>منح</t>
  </si>
  <si>
    <t>إزكي</t>
  </si>
  <si>
    <t>بدبد</t>
  </si>
  <si>
    <t>الجبل الاخضر</t>
  </si>
  <si>
    <t>صحار</t>
  </si>
  <si>
    <t>محافظة شمال الباطنة</t>
  </si>
  <si>
    <t>شناص</t>
  </si>
  <si>
    <t>لوى</t>
  </si>
  <si>
    <t>صحم</t>
  </si>
  <si>
    <t>الخابورة</t>
  </si>
  <si>
    <t>السويق</t>
  </si>
  <si>
    <t>الرستاق</t>
  </si>
  <si>
    <t>محافظة جنوب الباطنة</t>
  </si>
  <si>
    <t>نخل</t>
  </si>
  <si>
    <t>وادي المعاول</t>
  </si>
  <si>
    <t>العوابي</t>
  </si>
  <si>
    <t>المصنعة</t>
  </si>
  <si>
    <t>بركاء</t>
  </si>
  <si>
    <t>صور</t>
  </si>
  <si>
    <t>محافظة جنوب الشرقيه</t>
  </si>
  <si>
    <t>الكامل والوافي</t>
  </si>
  <si>
    <t>جعلان بني بو علي</t>
  </si>
  <si>
    <t>جعلان بني بو حسن</t>
  </si>
  <si>
    <t>مصيرة</t>
  </si>
  <si>
    <t>إبراء</t>
  </si>
  <si>
    <t>محافظة شمال الشرقية</t>
  </si>
  <si>
    <t>بدية</t>
  </si>
  <si>
    <t>القابل</t>
  </si>
  <si>
    <t>المضيبي</t>
  </si>
  <si>
    <t>دماء والطائيين</t>
  </si>
  <si>
    <t>وادي بني خالد</t>
  </si>
  <si>
    <t>سناو</t>
  </si>
  <si>
    <t>عبري</t>
  </si>
  <si>
    <t>محافظة الظاهرة</t>
  </si>
  <si>
    <t>ينقل</t>
  </si>
  <si>
    <t>ضنك</t>
  </si>
  <si>
    <t>هيماء</t>
  </si>
  <si>
    <t>محافظة الوسطى</t>
  </si>
  <si>
    <t>محوت</t>
  </si>
  <si>
    <t>الدقم</t>
  </si>
  <si>
    <t>الجازر</t>
  </si>
  <si>
    <t>الناخبين المسجلين حسب الاعمار</t>
  </si>
  <si>
    <t>الناخبين المصوتين</t>
  </si>
  <si>
    <t>الناخبين المصوتين حسب الاعمار</t>
  </si>
  <si>
    <t>أصغر من 30 سنة</t>
  </si>
  <si>
    <t>من 30 إلى 39 سنة</t>
  </si>
  <si>
    <t>من 40 إلى 49 سنة</t>
  </si>
  <si>
    <t>من 50 إلى 59 سنة</t>
  </si>
  <si>
    <t>من 60 إلى 69 سنة</t>
  </si>
  <si>
    <t>أكبر من 70 سنة</t>
  </si>
  <si>
    <t>عدد الذكور</t>
  </si>
  <si>
    <t>عدد الاناث</t>
  </si>
  <si>
    <t>مجموع المصوتين</t>
  </si>
  <si>
    <t>المجموع</t>
  </si>
  <si>
    <t>dataSetNameAr</t>
  </si>
  <si>
    <t xml:space="preserve">بيانات الناخبين </t>
  </si>
  <si>
    <t>datasetDescriptionAr</t>
  </si>
  <si>
    <t>categoryAr</t>
  </si>
  <si>
    <t>الانتخابات</t>
  </si>
  <si>
    <t>KeywordsAr</t>
  </si>
  <si>
    <t>PublicationDate</t>
  </si>
  <si>
    <t>TouchpointNameAr</t>
  </si>
  <si>
    <t>دائرة الشؤون الانتخابية</t>
  </si>
  <si>
    <t>Email</t>
  </si>
  <si>
    <t>info@moi.gov.om</t>
  </si>
  <si>
    <t>DataReferencePeriod</t>
  </si>
  <si>
    <t>OverallIndicatorsAr</t>
  </si>
  <si>
    <t>LanguageAr</t>
  </si>
  <si>
    <t xml:space="preserve">العربية </t>
  </si>
  <si>
    <t>RotatingAr</t>
  </si>
  <si>
    <t>موسمي</t>
  </si>
  <si>
    <t>DevelopmentDate</t>
  </si>
  <si>
    <t>ContactNumber</t>
  </si>
  <si>
    <t>File format</t>
  </si>
  <si>
    <t xml:space="preserve">الأكسل </t>
  </si>
  <si>
    <t>GeographicCoverageofDataAr</t>
  </si>
  <si>
    <t xml:space="preserve">سلطنة عمان </t>
  </si>
  <si>
    <t>sourceAr</t>
  </si>
  <si>
    <t>وزارة الداخلية</t>
  </si>
  <si>
    <t>بيانات الناخبين في انتخابات أعضاء المجالس البلدية للفترة الثالثة</t>
  </si>
  <si>
    <t xml:space="preserve">الانتخابات - المجالس البلدية - الناخبين - الفترة الثالثة - المصوتين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</si>
</sst>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Times New Roman"/>
      <family val="1"/>
    </font>
    <font>
      <b/>
      <sz val="14"/>
      <color theme="1"/>
      <name val="Arial"/>
      <family val="2"/>
      <scheme val="minor"/>
    </font>
    <font>
      <b/>
      <sz val="10"/>
      <color rgb="FF000000"/>
      <name val="Times New Roman"/>
      <family val="1"/>
    </font>
    <font>
      <b/>
      <sz val="11.5"/>
      <color rgb="FF000000"/>
      <name val="Arial"/>
      <family val="2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Fill="1" applyBorder="1" applyAlignment="1">
      <alignment horizontal="left" vertical="top"/>
    </xf>
    <xf numFmtId="1" fontId="3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top" shrinkToFit="1"/>
    </xf>
    <xf numFmtId="0" fontId="1" fillId="2" borderId="1" xfId="0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 wrapText="1" readingOrder="2"/>
    </xf>
    <xf numFmtId="0" fontId="5" fillId="3" borderId="8" xfId="1" applyFont="1" applyFill="1" applyBorder="1" applyAlignment="1">
      <alignment horizontal="right" vertical="center" wrapText="1" readingOrder="2"/>
    </xf>
    <xf numFmtId="0" fontId="5" fillId="4" borderId="9" xfId="1" applyFont="1" applyFill="1" applyBorder="1" applyAlignment="1">
      <alignment horizontal="center" vertical="center" wrapText="1" readingOrder="2"/>
    </xf>
    <xf numFmtId="0" fontId="6" fillId="4" borderId="8" xfId="1" applyFont="1" applyFill="1" applyBorder="1" applyAlignment="1">
      <alignment horizontal="right" vertical="center" wrapText="1" readingOrder="2"/>
    </xf>
    <xf numFmtId="0" fontId="5" fillId="0" borderId="9" xfId="1" applyFont="1" applyBorder="1" applyAlignment="1">
      <alignment horizontal="center" vertical="center" wrapText="1" readingOrder="2"/>
    </xf>
    <xf numFmtId="0" fontId="6" fillId="0" borderId="7" xfId="1" applyFont="1" applyBorder="1" applyAlignment="1">
      <alignment horizontal="right" vertical="center" wrapText="1" readingOrder="2"/>
    </xf>
    <xf numFmtId="14" fontId="6" fillId="0" borderId="7" xfId="1" applyNumberFormat="1" applyFont="1" applyBorder="1" applyAlignment="1">
      <alignment vertical="center" wrapText="1" readingOrder="2"/>
    </xf>
    <xf numFmtId="0" fontId="6" fillId="4" borderId="7" xfId="1" applyFont="1" applyFill="1" applyBorder="1" applyAlignment="1">
      <alignment horizontal="right" vertical="center" wrapText="1" readingOrder="2"/>
    </xf>
    <xf numFmtId="0" fontId="7" fillId="0" borderId="7" xfId="2" applyBorder="1" applyAlignment="1">
      <alignment horizontal="right" vertical="center" wrapText="1" readingOrder="2"/>
    </xf>
    <xf numFmtId="0" fontId="6" fillId="4" borderId="9" xfId="1" applyFont="1" applyFill="1" applyBorder="1" applyAlignment="1">
      <alignment horizontal="center" vertical="center" wrapText="1" readingOrder="2"/>
    </xf>
    <xf numFmtId="0" fontId="6" fillId="4" borderId="7" xfId="1" applyFont="1" applyFill="1" applyBorder="1" applyAlignment="1">
      <alignment vertical="center" wrapText="1" readingOrder="2"/>
    </xf>
    <xf numFmtId="0" fontId="5" fillId="0" borderId="10" xfId="1" applyFont="1" applyBorder="1" applyAlignment="1">
      <alignment horizontal="center" vertical="center" wrapText="1" readingOrder="2"/>
    </xf>
    <xf numFmtId="0" fontId="6" fillId="0" borderId="8" xfId="1" applyFont="1" applyBorder="1" applyAlignment="1">
      <alignment horizontal="right" vertical="center" wrapText="1" readingOrder="2"/>
    </xf>
    <xf numFmtId="0" fontId="5" fillId="4" borderId="10" xfId="1" applyFont="1" applyFill="1" applyBorder="1" applyAlignment="1">
      <alignment horizontal="center" vertical="center" wrapText="1" readingOrder="2"/>
    </xf>
    <xf numFmtId="0" fontId="6" fillId="4" borderId="8" xfId="1" applyFont="1" applyFill="1" applyBorder="1" applyAlignment="1">
      <alignment vertical="center" wrapText="1" readingOrder="2"/>
    </xf>
    <xf numFmtId="0" fontId="5" fillId="0" borderId="10" xfId="1" applyFont="1" applyBorder="1" applyAlignment="1">
      <alignment horizontal="justify" vertical="center" wrapText="1" readingOrder="2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top" shrinkToFit="1"/>
    </xf>
    <xf numFmtId="1" fontId="3" fillId="2" borderId="6" xfId="0" applyNumberFormat="1" applyFont="1" applyFill="1" applyBorder="1" applyAlignment="1">
      <alignment horizontal="center" vertical="top" shrinkToFi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top" shrinkToFi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moi.gov.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rightToLeft="1" tabSelected="1" zoomScaleNormal="100" workbookViewId="0">
      <selection activeCell="N66" sqref="N66"/>
    </sheetView>
  </sheetViews>
  <sheetFormatPr defaultColWidth="9.296875" defaultRowHeight="13" x14ac:dyDescent="0.3"/>
  <cols>
    <col min="1" max="1" width="17.19921875" bestFit="1" customWidth="1"/>
    <col min="2" max="2" width="16.296875" bestFit="1" customWidth="1"/>
    <col min="3" max="3" width="23.796875" style="1" bestFit="1" customWidth="1"/>
    <col min="4" max="4" width="23.19921875" style="1" bestFit="1" customWidth="1"/>
    <col min="5" max="5" width="23.69921875" style="1" bestFit="1" customWidth="1"/>
    <col min="6" max="6" width="21" bestFit="1" customWidth="1"/>
    <col min="7" max="8" width="22" bestFit="1" customWidth="1"/>
    <col min="9" max="10" width="22" style="1" bestFit="1" customWidth="1"/>
    <col min="11" max="11" width="19.19921875" style="1" bestFit="1" customWidth="1"/>
    <col min="12" max="12" width="14" style="1" bestFit="1" customWidth="1"/>
    <col min="13" max="13" width="13.19921875" style="1" bestFit="1" customWidth="1"/>
    <col min="14" max="14" width="20.69921875" style="1" bestFit="1" customWidth="1"/>
    <col min="15" max="15" width="21" style="1" bestFit="1" customWidth="1"/>
    <col min="16" max="19" width="22" style="1" bestFit="1" customWidth="1"/>
    <col min="20" max="20" width="19.19921875" style="1" bestFit="1" customWidth="1"/>
    <col min="21" max="16384" width="9.296875" style="1"/>
  </cols>
  <sheetData>
    <row r="1" spans="1:20" s="3" customFormat="1" ht="18" x14ac:dyDescent="0.3">
      <c r="A1" s="28" t="s">
        <v>1</v>
      </c>
      <c r="B1" s="28" t="s">
        <v>0</v>
      </c>
      <c r="C1" s="23" t="s">
        <v>2</v>
      </c>
      <c r="D1" s="24"/>
      <c r="E1" s="25"/>
      <c r="F1" s="23" t="s">
        <v>80</v>
      </c>
      <c r="G1" s="24"/>
      <c r="H1" s="24"/>
      <c r="I1" s="24"/>
      <c r="J1" s="24"/>
      <c r="K1" s="25"/>
      <c r="L1" s="23" t="s">
        <v>81</v>
      </c>
      <c r="M1" s="24"/>
      <c r="N1" s="25"/>
      <c r="O1" s="23" t="s">
        <v>82</v>
      </c>
      <c r="P1" s="24"/>
      <c r="Q1" s="24"/>
      <c r="R1" s="24"/>
      <c r="S1" s="24"/>
      <c r="T1" s="25"/>
    </row>
    <row r="2" spans="1:20" s="3" customFormat="1" ht="18" x14ac:dyDescent="0.3">
      <c r="A2" s="29"/>
      <c r="B2" s="29"/>
      <c r="C2" s="6" t="s">
        <v>3</v>
      </c>
      <c r="D2" s="6" t="s">
        <v>4</v>
      </c>
      <c r="E2" s="6" t="s">
        <v>5</v>
      </c>
      <c r="F2" s="6" t="s">
        <v>83</v>
      </c>
      <c r="G2" s="6" t="s">
        <v>84</v>
      </c>
      <c r="H2" s="6" t="s">
        <v>85</v>
      </c>
      <c r="I2" s="6" t="s">
        <v>86</v>
      </c>
      <c r="J2" s="6" t="s">
        <v>87</v>
      </c>
      <c r="K2" s="6" t="s">
        <v>88</v>
      </c>
      <c r="L2" s="6" t="s">
        <v>89</v>
      </c>
      <c r="M2" s="6" t="s">
        <v>90</v>
      </c>
      <c r="N2" s="6" t="s">
        <v>91</v>
      </c>
      <c r="O2" s="6" t="s">
        <v>83</v>
      </c>
      <c r="P2" s="6" t="s">
        <v>84</v>
      </c>
      <c r="Q2" s="6" t="s">
        <v>85</v>
      </c>
      <c r="R2" s="6" t="s">
        <v>86</v>
      </c>
      <c r="S2" s="6" t="s">
        <v>87</v>
      </c>
      <c r="T2" s="6" t="s">
        <v>88</v>
      </c>
    </row>
    <row r="3" spans="1:20" ht="14.5" x14ac:dyDescent="0.3">
      <c r="A3" s="4" t="s">
        <v>7</v>
      </c>
      <c r="B3" s="4" t="s">
        <v>6</v>
      </c>
      <c r="C3" s="2">
        <v>6287</v>
      </c>
      <c r="D3" s="2">
        <v>6493</v>
      </c>
      <c r="E3" s="5">
        <v>12780</v>
      </c>
      <c r="F3" s="2">
        <v>909</v>
      </c>
      <c r="G3" s="2">
        <v>3680</v>
      </c>
      <c r="H3" s="2">
        <v>4196</v>
      </c>
      <c r="I3" s="2">
        <v>2170</v>
      </c>
      <c r="J3" s="2">
        <v>1186</v>
      </c>
      <c r="K3" s="2">
        <v>639</v>
      </c>
      <c r="L3" s="2">
        <v>1550</v>
      </c>
      <c r="M3" s="30">
        <v>1413</v>
      </c>
      <c r="N3" s="5">
        <f>SUM(L3,M3)</f>
        <v>2963</v>
      </c>
      <c r="O3" s="2">
        <v>306</v>
      </c>
      <c r="P3" s="2">
        <v>719</v>
      </c>
      <c r="Q3" s="2">
        <v>944</v>
      </c>
      <c r="R3" s="2">
        <v>543</v>
      </c>
      <c r="S3" s="2">
        <v>323</v>
      </c>
      <c r="T3" s="2">
        <v>128</v>
      </c>
    </row>
    <row r="4" spans="1:20" ht="15" customHeight="1" x14ac:dyDescent="0.3">
      <c r="A4" s="4" t="s">
        <v>7</v>
      </c>
      <c r="B4" s="4" t="s">
        <v>9</v>
      </c>
      <c r="C4" s="2">
        <v>10024</v>
      </c>
      <c r="D4" s="2">
        <v>7497</v>
      </c>
      <c r="E4" s="5">
        <v>17521</v>
      </c>
      <c r="F4" s="2">
        <v>927</v>
      </c>
      <c r="G4" s="2">
        <v>4978</v>
      </c>
      <c r="H4" s="2">
        <v>5702</v>
      </c>
      <c r="I4" s="2">
        <v>3107</v>
      </c>
      <c r="J4" s="2">
        <v>1805</v>
      </c>
      <c r="K4" s="2">
        <v>1002</v>
      </c>
      <c r="L4" s="2">
        <v>2385</v>
      </c>
      <c r="M4" s="30">
        <v>1498</v>
      </c>
      <c r="N4" s="5">
        <f t="shared" ref="N4:N65" si="0">SUM(L4,M4)</f>
        <v>3883</v>
      </c>
      <c r="O4" s="2">
        <v>360</v>
      </c>
      <c r="P4" s="2">
        <v>1020</v>
      </c>
      <c r="Q4" s="2">
        <v>1105</v>
      </c>
      <c r="R4" s="2">
        <v>799</v>
      </c>
      <c r="S4" s="2">
        <v>439</v>
      </c>
      <c r="T4" s="2">
        <v>160</v>
      </c>
    </row>
    <row r="5" spans="1:20" ht="14.5" x14ac:dyDescent="0.3">
      <c r="A5" s="4" t="s">
        <v>7</v>
      </c>
      <c r="B5" s="4" t="s">
        <v>11</v>
      </c>
      <c r="C5" s="2">
        <v>6536</v>
      </c>
      <c r="D5" s="2">
        <v>5669</v>
      </c>
      <c r="E5" s="5">
        <v>12205</v>
      </c>
      <c r="F5" s="2">
        <v>1431</v>
      </c>
      <c r="G5" s="2">
        <v>3915</v>
      </c>
      <c r="H5" s="2">
        <v>3453</v>
      </c>
      <c r="I5" s="2">
        <v>1750</v>
      </c>
      <c r="J5" s="2">
        <v>1060</v>
      </c>
      <c r="K5" s="2">
        <v>596</v>
      </c>
      <c r="L5" s="2">
        <v>1407</v>
      </c>
      <c r="M5" s="30">
        <v>993</v>
      </c>
      <c r="N5" s="5">
        <f t="shared" si="0"/>
        <v>2400</v>
      </c>
      <c r="O5" s="2">
        <v>334</v>
      </c>
      <c r="P5" s="2">
        <v>720</v>
      </c>
      <c r="Q5" s="2">
        <v>737</v>
      </c>
      <c r="R5" s="2">
        <v>349</v>
      </c>
      <c r="S5" s="2">
        <v>178</v>
      </c>
      <c r="T5" s="2">
        <v>82</v>
      </c>
    </row>
    <row r="6" spans="1:20" ht="14.5" x14ac:dyDescent="0.3">
      <c r="A6" s="4" t="s">
        <v>7</v>
      </c>
      <c r="B6" s="4" t="s">
        <v>10</v>
      </c>
      <c r="C6" s="2">
        <v>7383</v>
      </c>
      <c r="D6" s="2">
        <v>6506</v>
      </c>
      <c r="E6" s="5">
        <v>13889</v>
      </c>
      <c r="F6" s="2">
        <v>1291</v>
      </c>
      <c r="G6" s="2">
        <v>3989</v>
      </c>
      <c r="H6" s="2">
        <v>4290</v>
      </c>
      <c r="I6" s="2">
        <v>2274</v>
      </c>
      <c r="J6" s="2">
        <v>1354</v>
      </c>
      <c r="K6" s="2">
        <v>691</v>
      </c>
      <c r="L6" s="2">
        <v>1954</v>
      </c>
      <c r="M6" s="30">
        <v>1062</v>
      </c>
      <c r="N6" s="5">
        <f t="shared" si="0"/>
        <v>3016</v>
      </c>
      <c r="O6" s="2">
        <v>377</v>
      </c>
      <c r="P6" s="2">
        <v>927</v>
      </c>
      <c r="Q6" s="2">
        <v>853</v>
      </c>
      <c r="R6" s="2">
        <v>529</v>
      </c>
      <c r="S6" s="2">
        <v>252</v>
      </c>
      <c r="T6" s="2">
        <v>78</v>
      </c>
    </row>
    <row r="7" spans="1:20" ht="14.5" x14ac:dyDescent="0.3">
      <c r="A7" s="4" t="s">
        <v>7</v>
      </c>
      <c r="B7" s="4" t="s">
        <v>8</v>
      </c>
      <c r="C7" s="2">
        <v>16178</v>
      </c>
      <c r="D7" s="2">
        <v>13866</v>
      </c>
      <c r="E7" s="5">
        <v>30044</v>
      </c>
      <c r="F7" s="2">
        <v>3072</v>
      </c>
      <c r="G7" s="2">
        <v>9864</v>
      </c>
      <c r="H7" s="2">
        <v>8523</v>
      </c>
      <c r="I7" s="2">
        <v>4673</v>
      </c>
      <c r="J7" s="2">
        <v>2550</v>
      </c>
      <c r="K7" s="2">
        <v>1362</v>
      </c>
      <c r="L7" s="2">
        <v>3759</v>
      </c>
      <c r="M7" s="30">
        <v>2391</v>
      </c>
      <c r="N7" s="5">
        <f t="shared" si="0"/>
        <v>6150</v>
      </c>
      <c r="O7" s="2">
        <v>966</v>
      </c>
      <c r="P7" s="2">
        <v>1874</v>
      </c>
      <c r="Q7" s="2">
        <v>1602</v>
      </c>
      <c r="R7" s="2">
        <v>990</v>
      </c>
      <c r="S7" s="2">
        <v>492</v>
      </c>
      <c r="T7" s="2">
        <v>226</v>
      </c>
    </row>
    <row r="8" spans="1:20" ht="14.5" x14ac:dyDescent="0.3">
      <c r="A8" s="4" t="s">
        <v>7</v>
      </c>
      <c r="B8" s="4" t="s">
        <v>12</v>
      </c>
      <c r="C8" s="2">
        <v>8302</v>
      </c>
      <c r="D8" s="2">
        <v>9208</v>
      </c>
      <c r="E8" s="5">
        <v>17510</v>
      </c>
      <c r="F8" s="2">
        <v>2522</v>
      </c>
      <c r="G8" s="2">
        <v>5877</v>
      </c>
      <c r="H8" s="2">
        <v>4316</v>
      </c>
      <c r="I8" s="2">
        <v>2384</v>
      </c>
      <c r="J8" s="2">
        <v>1405</v>
      </c>
      <c r="K8" s="2">
        <v>1006</v>
      </c>
      <c r="L8" s="2">
        <v>4034</v>
      </c>
      <c r="M8" s="30">
        <v>4096</v>
      </c>
      <c r="N8" s="5">
        <f t="shared" si="0"/>
        <v>8130</v>
      </c>
      <c r="O8" s="2">
        <v>1116</v>
      </c>
      <c r="P8" s="2">
        <v>2404</v>
      </c>
      <c r="Q8" s="2">
        <v>2059</v>
      </c>
      <c r="R8" s="2">
        <v>1359</v>
      </c>
      <c r="S8" s="2">
        <v>780</v>
      </c>
      <c r="T8" s="2">
        <v>412</v>
      </c>
    </row>
    <row r="9" spans="1:20" ht="14.5" x14ac:dyDescent="0.3">
      <c r="A9" s="4" t="s">
        <v>14</v>
      </c>
      <c r="B9" s="4" t="s">
        <v>13</v>
      </c>
      <c r="C9" s="2">
        <v>21601</v>
      </c>
      <c r="D9" s="2">
        <v>21081</v>
      </c>
      <c r="E9" s="5">
        <v>42682</v>
      </c>
      <c r="F9" s="2">
        <v>8911</v>
      </c>
      <c r="G9" s="2">
        <v>13402</v>
      </c>
      <c r="H9" s="2">
        <v>10386</v>
      </c>
      <c r="I9" s="2">
        <v>4974</v>
      </c>
      <c r="J9" s="2">
        <v>3405</v>
      </c>
      <c r="K9" s="2">
        <v>1604</v>
      </c>
      <c r="L9" s="2">
        <v>15482</v>
      </c>
      <c r="M9" s="30">
        <v>15374</v>
      </c>
      <c r="N9" s="5">
        <f t="shared" si="0"/>
        <v>30856</v>
      </c>
      <c r="O9" s="2">
        <v>7510</v>
      </c>
      <c r="P9" s="2">
        <v>9747</v>
      </c>
      <c r="Q9" s="2">
        <v>6916</v>
      </c>
      <c r="R9" s="2">
        <v>3533</v>
      </c>
      <c r="S9" s="2">
        <v>2279</v>
      </c>
      <c r="T9" s="2">
        <v>871</v>
      </c>
    </row>
    <row r="10" spans="1:20" ht="14.5" x14ac:dyDescent="0.3">
      <c r="A10" s="4" t="s">
        <v>14</v>
      </c>
      <c r="B10" s="4" t="s">
        <v>16</v>
      </c>
      <c r="C10" s="2">
        <v>4455</v>
      </c>
      <c r="D10" s="2">
        <v>4551</v>
      </c>
      <c r="E10" s="5">
        <v>9006</v>
      </c>
      <c r="F10" s="2">
        <v>1568</v>
      </c>
      <c r="G10" s="2">
        <v>2932</v>
      </c>
      <c r="H10" s="2">
        <v>2142</v>
      </c>
      <c r="I10" s="2">
        <v>1024</v>
      </c>
      <c r="J10" s="2">
        <v>837</v>
      </c>
      <c r="K10" s="2">
        <v>503</v>
      </c>
      <c r="L10" s="2">
        <v>3145</v>
      </c>
      <c r="M10" s="30">
        <v>2922</v>
      </c>
      <c r="N10" s="5">
        <f t="shared" si="0"/>
        <v>6067</v>
      </c>
      <c r="O10" s="2">
        <v>1230</v>
      </c>
      <c r="P10" s="2">
        <v>1974</v>
      </c>
      <c r="Q10" s="2">
        <v>1330</v>
      </c>
      <c r="R10" s="2">
        <v>732</v>
      </c>
      <c r="S10" s="2">
        <v>564</v>
      </c>
      <c r="T10" s="2">
        <v>237</v>
      </c>
    </row>
    <row r="11" spans="1:20" ht="14.5" x14ac:dyDescent="0.3">
      <c r="A11" s="4" t="s">
        <v>14</v>
      </c>
      <c r="B11" s="4" t="s">
        <v>17</v>
      </c>
      <c r="C11" s="2">
        <v>3967</v>
      </c>
      <c r="D11" s="2">
        <v>4531</v>
      </c>
      <c r="E11" s="5">
        <v>8498</v>
      </c>
      <c r="F11" s="2">
        <v>1444</v>
      </c>
      <c r="G11" s="2">
        <v>2652</v>
      </c>
      <c r="H11" s="2">
        <v>2047</v>
      </c>
      <c r="I11" s="2">
        <v>968</v>
      </c>
      <c r="J11" s="2">
        <v>821</v>
      </c>
      <c r="K11" s="2">
        <v>566</v>
      </c>
      <c r="L11" s="2">
        <v>2603</v>
      </c>
      <c r="M11" s="30">
        <v>3056</v>
      </c>
      <c r="N11" s="5">
        <f t="shared" si="0"/>
        <v>5659</v>
      </c>
      <c r="O11" s="2">
        <v>1102</v>
      </c>
      <c r="P11" s="2">
        <v>1825</v>
      </c>
      <c r="Q11" s="2">
        <v>1270</v>
      </c>
      <c r="R11" s="2">
        <v>673</v>
      </c>
      <c r="S11" s="2">
        <v>527</v>
      </c>
      <c r="T11" s="2">
        <v>262</v>
      </c>
    </row>
    <row r="12" spans="1:20" ht="14.5" x14ac:dyDescent="0.3">
      <c r="A12" s="4" t="s">
        <v>14</v>
      </c>
      <c r="B12" s="4" t="s">
        <v>19</v>
      </c>
      <c r="C12" s="2">
        <v>2428</v>
      </c>
      <c r="D12" s="2">
        <v>2745</v>
      </c>
      <c r="E12" s="5">
        <v>5173</v>
      </c>
      <c r="F12" s="2">
        <v>981</v>
      </c>
      <c r="G12" s="2">
        <v>1714</v>
      </c>
      <c r="H12" s="2">
        <v>1015</v>
      </c>
      <c r="I12" s="2">
        <v>690</v>
      </c>
      <c r="J12" s="2">
        <v>431</v>
      </c>
      <c r="K12" s="2">
        <v>342</v>
      </c>
      <c r="L12" s="2">
        <v>1605</v>
      </c>
      <c r="M12" s="30">
        <v>1873</v>
      </c>
      <c r="N12" s="5">
        <f t="shared" si="0"/>
        <v>3478</v>
      </c>
      <c r="O12" s="2">
        <v>721</v>
      </c>
      <c r="P12" s="2">
        <v>1173</v>
      </c>
      <c r="Q12" s="2">
        <v>641</v>
      </c>
      <c r="R12" s="2">
        <v>481</v>
      </c>
      <c r="S12" s="2">
        <v>287</v>
      </c>
      <c r="T12" s="2">
        <v>175</v>
      </c>
    </row>
    <row r="13" spans="1:20" ht="14.5" x14ac:dyDescent="0.3">
      <c r="A13" s="4" t="s">
        <v>14</v>
      </c>
      <c r="B13" s="4" t="s">
        <v>15</v>
      </c>
      <c r="C13" s="2">
        <v>3330</v>
      </c>
      <c r="D13" s="2">
        <v>3000</v>
      </c>
      <c r="E13" s="5">
        <v>6330</v>
      </c>
      <c r="F13" s="2">
        <v>1076</v>
      </c>
      <c r="G13" s="2">
        <v>2339</v>
      </c>
      <c r="H13" s="2">
        <v>1518</v>
      </c>
      <c r="I13" s="2">
        <v>599</v>
      </c>
      <c r="J13" s="2">
        <v>494</v>
      </c>
      <c r="K13" s="2">
        <v>304</v>
      </c>
      <c r="L13" s="2">
        <v>2419</v>
      </c>
      <c r="M13" s="30">
        <v>2134</v>
      </c>
      <c r="N13" s="5">
        <f t="shared" si="0"/>
        <v>4553</v>
      </c>
      <c r="O13" s="2">
        <v>877</v>
      </c>
      <c r="P13" s="2">
        <v>1646</v>
      </c>
      <c r="Q13" s="2">
        <v>1044</v>
      </c>
      <c r="R13" s="2">
        <v>461</v>
      </c>
      <c r="S13" s="2">
        <v>350</v>
      </c>
      <c r="T13" s="2">
        <v>175</v>
      </c>
    </row>
    <row r="14" spans="1:20" ht="14.5" x14ac:dyDescent="0.3">
      <c r="A14" s="4" t="s">
        <v>14</v>
      </c>
      <c r="B14" s="4" t="s">
        <v>20</v>
      </c>
      <c r="C14" s="2">
        <v>1816</v>
      </c>
      <c r="D14" s="2">
        <v>1866</v>
      </c>
      <c r="E14" s="5">
        <v>3682</v>
      </c>
      <c r="F14" s="2">
        <v>760</v>
      </c>
      <c r="G14" s="2">
        <v>1105</v>
      </c>
      <c r="H14" s="2">
        <v>793</v>
      </c>
      <c r="I14" s="2">
        <v>474</v>
      </c>
      <c r="J14" s="2">
        <v>320</v>
      </c>
      <c r="K14" s="2">
        <v>230</v>
      </c>
      <c r="L14" s="2">
        <v>1409</v>
      </c>
      <c r="M14" s="30">
        <v>1548</v>
      </c>
      <c r="N14" s="5">
        <f t="shared" si="0"/>
        <v>2957</v>
      </c>
      <c r="O14" s="2">
        <v>662</v>
      </c>
      <c r="P14" s="2">
        <v>905</v>
      </c>
      <c r="Q14" s="2">
        <v>594</v>
      </c>
      <c r="R14" s="2">
        <v>394</v>
      </c>
      <c r="S14" s="2">
        <v>260</v>
      </c>
      <c r="T14" s="2">
        <v>142</v>
      </c>
    </row>
    <row r="15" spans="1:20" ht="14.5" x14ac:dyDescent="0.3">
      <c r="A15" s="4" t="s">
        <v>14</v>
      </c>
      <c r="B15" s="4" t="s">
        <v>23</v>
      </c>
      <c r="C15" s="2">
        <v>1826</v>
      </c>
      <c r="D15" s="2">
        <v>1810</v>
      </c>
      <c r="E15" s="5">
        <v>3636</v>
      </c>
      <c r="F15" s="2">
        <v>842</v>
      </c>
      <c r="G15" s="2">
        <v>1227</v>
      </c>
      <c r="H15" s="2">
        <v>542</v>
      </c>
      <c r="I15" s="2">
        <v>449</v>
      </c>
      <c r="J15" s="2">
        <v>330</v>
      </c>
      <c r="K15" s="2">
        <v>246</v>
      </c>
      <c r="L15" s="2">
        <v>1284</v>
      </c>
      <c r="M15" s="30">
        <v>1363</v>
      </c>
      <c r="N15" s="5">
        <f t="shared" si="0"/>
        <v>2647</v>
      </c>
      <c r="O15" s="2">
        <v>671</v>
      </c>
      <c r="P15" s="2">
        <v>861</v>
      </c>
      <c r="Q15" s="2">
        <v>394</v>
      </c>
      <c r="R15" s="2">
        <v>360</v>
      </c>
      <c r="S15" s="2">
        <v>233</v>
      </c>
      <c r="T15" s="2">
        <v>128</v>
      </c>
    </row>
    <row r="16" spans="1:20" ht="14.5" x14ac:dyDescent="0.3">
      <c r="A16" s="4" t="s">
        <v>14</v>
      </c>
      <c r="B16" s="4" t="s">
        <v>21</v>
      </c>
      <c r="C16" s="2">
        <v>532</v>
      </c>
      <c r="D16" s="2">
        <v>465</v>
      </c>
      <c r="E16" s="5">
        <v>997</v>
      </c>
      <c r="F16" s="2">
        <v>128</v>
      </c>
      <c r="G16" s="2">
        <v>330</v>
      </c>
      <c r="H16" s="2">
        <v>276</v>
      </c>
      <c r="I16" s="2">
        <v>114</v>
      </c>
      <c r="J16" s="2">
        <v>101</v>
      </c>
      <c r="K16" s="2">
        <v>48</v>
      </c>
      <c r="L16" s="2">
        <v>431</v>
      </c>
      <c r="M16" s="30">
        <v>353</v>
      </c>
      <c r="N16" s="5">
        <f t="shared" si="0"/>
        <v>784</v>
      </c>
      <c r="O16" s="2">
        <v>122</v>
      </c>
      <c r="P16" s="2">
        <v>257</v>
      </c>
      <c r="Q16" s="2">
        <v>210</v>
      </c>
      <c r="R16" s="2">
        <v>92</v>
      </c>
      <c r="S16" s="2">
        <v>75</v>
      </c>
      <c r="T16" s="2">
        <v>28</v>
      </c>
    </row>
    <row r="17" spans="1:20" ht="14.5" x14ac:dyDescent="0.3">
      <c r="A17" s="4" t="s">
        <v>14</v>
      </c>
      <c r="B17" s="4" t="s">
        <v>22</v>
      </c>
      <c r="C17" s="2">
        <v>1122</v>
      </c>
      <c r="D17" s="2">
        <v>992</v>
      </c>
      <c r="E17" s="5">
        <v>2114</v>
      </c>
      <c r="F17" s="2">
        <v>432</v>
      </c>
      <c r="G17" s="2">
        <v>757</v>
      </c>
      <c r="H17" s="2">
        <v>363</v>
      </c>
      <c r="I17" s="2">
        <v>222</v>
      </c>
      <c r="J17" s="2">
        <v>193</v>
      </c>
      <c r="K17" s="2">
        <v>147</v>
      </c>
      <c r="L17" s="2">
        <v>906</v>
      </c>
      <c r="M17" s="30">
        <v>724</v>
      </c>
      <c r="N17" s="5">
        <f t="shared" si="0"/>
        <v>1630</v>
      </c>
      <c r="O17" s="2">
        <v>345</v>
      </c>
      <c r="P17" s="2">
        <v>615</v>
      </c>
      <c r="Q17" s="2">
        <v>282</v>
      </c>
      <c r="R17" s="2">
        <v>171</v>
      </c>
      <c r="S17" s="2">
        <v>150</v>
      </c>
      <c r="T17" s="2">
        <v>67</v>
      </c>
    </row>
    <row r="18" spans="1:20" ht="14.5" x14ac:dyDescent="0.3">
      <c r="A18" s="4" t="s">
        <v>14</v>
      </c>
      <c r="B18" s="4" t="s">
        <v>18</v>
      </c>
      <c r="C18" s="2">
        <v>1299</v>
      </c>
      <c r="D18" s="2">
        <v>1401</v>
      </c>
      <c r="E18" s="5">
        <v>2700</v>
      </c>
      <c r="F18" s="2">
        <v>497</v>
      </c>
      <c r="G18" s="2">
        <v>925</v>
      </c>
      <c r="H18" s="2">
        <v>581</v>
      </c>
      <c r="I18" s="2">
        <v>248</v>
      </c>
      <c r="J18" s="2">
        <v>274</v>
      </c>
      <c r="K18" s="2">
        <v>175</v>
      </c>
      <c r="L18" s="2">
        <v>1013</v>
      </c>
      <c r="M18" s="30">
        <v>1035</v>
      </c>
      <c r="N18" s="5">
        <f t="shared" si="0"/>
        <v>2048</v>
      </c>
      <c r="O18" s="2">
        <v>434</v>
      </c>
      <c r="P18" s="2">
        <v>660</v>
      </c>
      <c r="Q18" s="2">
        <v>437</v>
      </c>
      <c r="R18" s="2">
        <v>203</v>
      </c>
      <c r="S18" s="2">
        <v>218</v>
      </c>
      <c r="T18" s="2">
        <v>96</v>
      </c>
    </row>
    <row r="19" spans="1:20" ht="14.5" x14ac:dyDescent="0.3">
      <c r="A19" s="4" t="s">
        <v>25</v>
      </c>
      <c r="B19" s="4" t="s">
        <v>24</v>
      </c>
      <c r="C19" s="2">
        <v>3468</v>
      </c>
      <c r="D19" s="2">
        <v>3144</v>
      </c>
      <c r="E19" s="5">
        <v>6612</v>
      </c>
      <c r="F19" s="2">
        <v>982</v>
      </c>
      <c r="G19" s="2">
        <v>2000</v>
      </c>
      <c r="H19" s="2">
        <v>1599</v>
      </c>
      <c r="I19" s="2">
        <v>807</v>
      </c>
      <c r="J19" s="2">
        <v>649</v>
      </c>
      <c r="K19" s="2">
        <v>575</v>
      </c>
      <c r="L19" s="2">
        <v>1963</v>
      </c>
      <c r="M19" s="30">
        <v>1616</v>
      </c>
      <c r="N19" s="5">
        <f t="shared" si="0"/>
        <v>3579</v>
      </c>
      <c r="O19" s="2">
        <v>591</v>
      </c>
      <c r="P19" s="2">
        <v>1054</v>
      </c>
      <c r="Q19" s="2">
        <v>880</v>
      </c>
      <c r="R19" s="2">
        <v>463</v>
      </c>
      <c r="S19" s="2">
        <v>347</v>
      </c>
      <c r="T19" s="2">
        <v>244</v>
      </c>
    </row>
    <row r="20" spans="1:20" ht="14.5" x14ac:dyDescent="0.3">
      <c r="A20" s="4" t="s">
        <v>25</v>
      </c>
      <c r="B20" s="4" t="s">
        <v>27</v>
      </c>
      <c r="C20" s="2">
        <v>1489</v>
      </c>
      <c r="D20" s="2">
        <v>1113</v>
      </c>
      <c r="E20" s="5">
        <v>2602</v>
      </c>
      <c r="F20" s="2">
        <v>126</v>
      </c>
      <c r="G20" s="2">
        <v>421</v>
      </c>
      <c r="H20" s="2">
        <v>340</v>
      </c>
      <c r="I20" s="2">
        <v>154</v>
      </c>
      <c r="J20" s="2">
        <v>96</v>
      </c>
      <c r="K20" s="2">
        <v>114</v>
      </c>
      <c r="L20" s="2">
        <v>645</v>
      </c>
      <c r="M20" s="30">
        <v>279</v>
      </c>
      <c r="N20" s="5">
        <f t="shared" si="0"/>
        <v>924</v>
      </c>
      <c r="O20" s="2">
        <v>69</v>
      </c>
      <c r="P20" s="2">
        <v>203</v>
      </c>
      <c r="Q20" s="2">
        <v>162</v>
      </c>
      <c r="R20" s="2">
        <v>74</v>
      </c>
      <c r="S20" s="2">
        <v>37</v>
      </c>
      <c r="T20" s="2">
        <v>35</v>
      </c>
    </row>
    <row r="21" spans="1:20" ht="14.5" x14ac:dyDescent="0.3">
      <c r="A21" s="4" t="s">
        <v>25</v>
      </c>
      <c r="B21" s="4" t="s">
        <v>26</v>
      </c>
      <c r="C21" s="2">
        <v>709</v>
      </c>
      <c r="D21" s="2">
        <v>542</v>
      </c>
      <c r="E21" s="5">
        <v>1251</v>
      </c>
      <c r="F21" s="2">
        <v>316</v>
      </c>
      <c r="G21" s="2">
        <v>858</v>
      </c>
      <c r="H21" s="2">
        <v>632</v>
      </c>
      <c r="I21" s="2">
        <v>315</v>
      </c>
      <c r="J21" s="2">
        <v>251</v>
      </c>
      <c r="K21" s="2">
        <v>230</v>
      </c>
      <c r="L21" s="2">
        <v>382</v>
      </c>
      <c r="M21" s="30">
        <v>198</v>
      </c>
      <c r="N21" s="5">
        <f t="shared" si="0"/>
        <v>580</v>
      </c>
      <c r="O21" s="2">
        <v>115</v>
      </c>
      <c r="P21" s="2">
        <v>315</v>
      </c>
      <c r="Q21" s="2">
        <v>252</v>
      </c>
      <c r="R21" s="2">
        <v>122</v>
      </c>
      <c r="S21" s="2">
        <v>79</v>
      </c>
      <c r="T21" s="2">
        <v>41</v>
      </c>
    </row>
    <row r="22" spans="1:20" ht="14.5" x14ac:dyDescent="0.3">
      <c r="A22" s="4" t="s">
        <v>25</v>
      </c>
      <c r="B22" s="4" t="s">
        <v>28</v>
      </c>
      <c r="C22" s="2">
        <v>738</v>
      </c>
      <c r="D22" s="2">
        <v>661</v>
      </c>
      <c r="E22" s="5">
        <v>1399</v>
      </c>
      <c r="F22" s="2">
        <v>210</v>
      </c>
      <c r="G22" s="2">
        <v>497</v>
      </c>
      <c r="H22" s="2">
        <v>333</v>
      </c>
      <c r="I22" s="2">
        <v>157</v>
      </c>
      <c r="J22" s="2">
        <v>93</v>
      </c>
      <c r="K22" s="2">
        <v>109</v>
      </c>
      <c r="L22" s="2">
        <v>342</v>
      </c>
      <c r="M22" s="30">
        <v>131</v>
      </c>
      <c r="N22" s="5">
        <f t="shared" si="0"/>
        <v>473</v>
      </c>
      <c r="O22" s="2">
        <v>78</v>
      </c>
      <c r="P22" s="2">
        <v>172</v>
      </c>
      <c r="Q22" s="2">
        <v>113</v>
      </c>
      <c r="R22" s="2">
        <v>75</v>
      </c>
      <c r="S22" s="2">
        <v>26</v>
      </c>
      <c r="T22" s="2">
        <v>9</v>
      </c>
    </row>
    <row r="23" spans="1:20" ht="14.5" x14ac:dyDescent="0.3">
      <c r="A23" s="4" t="s">
        <v>30</v>
      </c>
      <c r="B23" s="4" t="s">
        <v>29</v>
      </c>
      <c r="C23" s="2">
        <v>8523</v>
      </c>
      <c r="D23" s="2">
        <v>5661</v>
      </c>
      <c r="E23" s="5">
        <v>14184</v>
      </c>
      <c r="F23" s="2">
        <v>1628</v>
      </c>
      <c r="G23" s="2">
        <v>4451</v>
      </c>
      <c r="H23" s="2">
        <v>4041</v>
      </c>
      <c r="I23" s="2">
        <v>1874</v>
      </c>
      <c r="J23" s="2">
        <v>1287</v>
      </c>
      <c r="K23" s="2">
        <v>903</v>
      </c>
      <c r="L23" s="2">
        <v>2550</v>
      </c>
      <c r="M23" s="30">
        <v>953</v>
      </c>
      <c r="N23" s="5">
        <f t="shared" si="0"/>
        <v>3503</v>
      </c>
      <c r="O23" s="2">
        <v>563</v>
      </c>
      <c r="P23" s="2">
        <v>1158</v>
      </c>
      <c r="Q23" s="2">
        <v>878</v>
      </c>
      <c r="R23" s="2">
        <v>490</v>
      </c>
      <c r="S23" s="2">
        <v>291</v>
      </c>
      <c r="T23" s="2">
        <v>123</v>
      </c>
    </row>
    <row r="24" spans="1:20" ht="14.5" x14ac:dyDescent="0.3">
      <c r="A24" s="4" t="s">
        <v>30</v>
      </c>
      <c r="B24" s="4" t="s">
        <v>31</v>
      </c>
      <c r="C24" s="2">
        <v>1300</v>
      </c>
      <c r="D24" s="2">
        <v>837</v>
      </c>
      <c r="E24" s="5">
        <v>2137</v>
      </c>
      <c r="F24" s="2">
        <v>275</v>
      </c>
      <c r="G24" s="2">
        <v>640</v>
      </c>
      <c r="H24" s="2">
        <v>554</v>
      </c>
      <c r="I24" s="2">
        <v>283</v>
      </c>
      <c r="J24" s="2">
        <v>173</v>
      </c>
      <c r="K24" s="2">
        <v>212</v>
      </c>
      <c r="L24" s="2">
        <v>474</v>
      </c>
      <c r="M24" s="30">
        <v>232</v>
      </c>
      <c r="N24" s="5">
        <f t="shared" si="0"/>
        <v>706</v>
      </c>
      <c r="O24" s="2">
        <v>128</v>
      </c>
      <c r="P24" s="2">
        <v>213</v>
      </c>
      <c r="Q24" s="2">
        <v>177</v>
      </c>
      <c r="R24" s="2">
        <v>106</v>
      </c>
      <c r="S24" s="2">
        <v>47</v>
      </c>
      <c r="T24" s="2">
        <v>35</v>
      </c>
    </row>
    <row r="25" spans="1:20" ht="14.5" x14ac:dyDescent="0.3">
      <c r="A25" s="4" t="s">
        <v>30</v>
      </c>
      <c r="B25" s="4" t="s">
        <v>32</v>
      </c>
      <c r="C25" s="2">
        <v>210</v>
      </c>
      <c r="D25" s="2">
        <v>165</v>
      </c>
      <c r="E25" s="5">
        <v>375</v>
      </c>
      <c r="F25" s="2">
        <v>73</v>
      </c>
      <c r="G25" s="2">
        <v>126</v>
      </c>
      <c r="H25" s="2">
        <v>81</v>
      </c>
      <c r="I25" s="2">
        <v>36</v>
      </c>
      <c r="J25" s="2">
        <v>30</v>
      </c>
      <c r="K25" s="2">
        <v>29</v>
      </c>
      <c r="L25" s="2">
        <v>134</v>
      </c>
      <c r="M25" s="30">
        <v>98</v>
      </c>
      <c r="N25" s="5">
        <f t="shared" si="0"/>
        <v>232</v>
      </c>
      <c r="O25" s="2">
        <v>47</v>
      </c>
      <c r="P25" s="2">
        <v>79</v>
      </c>
      <c r="Q25" s="2">
        <v>54</v>
      </c>
      <c r="R25" s="2">
        <v>22</v>
      </c>
      <c r="S25" s="2">
        <v>17</v>
      </c>
      <c r="T25" s="2">
        <v>13</v>
      </c>
    </row>
    <row r="26" spans="1:20" ht="14.5" x14ac:dyDescent="0.3">
      <c r="A26" s="4" t="s">
        <v>34</v>
      </c>
      <c r="B26" s="4" t="s">
        <v>33</v>
      </c>
      <c r="C26" s="2">
        <v>8322</v>
      </c>
      <c r="D26" s="2">
        <v>5212</v>
      </c>
      <c r="E26" s="5">
        <v>13534</v>
      </c>
      <c r="F26" s="2">
        <v>1104</v>
      </c>
      <c r="G26" s="2">
        <v>4726</v>
      </c>
      <c r="H26" s="2">
        <v>4036</v>
      </c>
      <c r="I26" s="2">
        <v>1784</v>
      </c>
      <c r="J26" s="2">
        <v>1141</v>
      </c>
      <c r="K26" s="2">
        <v>743</v>
      </c>
      <c r="L26" s="2">
        <v>1742</v>
      </c>
      <c r="M26" s="30">
        <v>497</v>
      </c>
      <c r="N26" s="5">
        <f t="shared" si="0"/>
        <v>2239</v>
      </c>
      <c r="O26" s="2">
        <v>211</v>
      </c>
      <c r="P26" s="2">
        <v>677</v>
      </c>
      <c r="Q26" s="2">
        <v>742</v>
      </c>
      <c r="R26" s="2">
        <v>377</v>
      </c>
      <c r="S26" s="2">
        <v>172</v>
      </c>
      <c r="T26" s="2">
        <v>60</v>
      </c>
    </row>
    <row r="27" spans="1:20" ht="14.5" x14ac:dyDescent="0.3">
      <c r="A27" s="4" t="s">
        <v>34</v>
      </c>
      <c r="B27" s="4" t="s">
        <v>36</v>
      </c>
      <c r="C27" s="2">
        <v>10205</v>
      </c>
      <c r="D27" s="2">
        <v>7479</v>
      </c>
      <c r="E27" s="5">
        <v>17684</v>
      </c>
      <c r="F27" s="2">
        <v>1859</v>
      </c>
      <c r="G27" s="2">
        <v>5870</v>
      </c>
      <c r="H27" s="2">
        <v>4898</v>
      </c>
      <c r="I27" s="2">
        <v>2149</v>
      </c>
      <c r="J27" s="2">
        <v>1669</v>
      </c>
      <c r="K27" s="2">
        <v>1239</v>
      </c>
      <c r="L27" s="2">
        <v>3208</v>
      </c>
      <c r="M27" s="30">
        <v>1234</v>
      </c>
      <c r="N27" s="5">
        <f t="shared" si="0"/>
        <v>4442</v>
      </c>
      <c r="O27" s="2">
        <v>538</v>
      </c>
      <c r="P27" s="2">
        <v>1376</v>
      </c>
      <c r="Q27" s="2">
        <v>1271</v>
      </c>
      <c r="R27" s="2">
        <v>670</v>
      </c>
      <c r="S27" s="2">
        <v>410</v>
      </c>
      <c r="T27" s="2">
        <v>177</v>
      </c>
    </row>
    <row r="28" spans="1:20" ht="14.5" x14ac:dyDescent="0.3">
      <c r="A28" s="4" t="s">
        <v>34</v>
      </c>
      <c r="B28" s="4" t="s">
        <v>39</v>
      </c>
      <c r="C28" s="2">
        <v>2860</v>
      </c>
      <c r="D28" s="2">
        <v>3191</v>
      </c>
      <c r="E28" s="5">
        <v>6051</v>
      </c>
      <c r="F28" s="2">
        <v>878</v>
      </c>
      <c r="G28" s="2">
        <v>2094</v>
      </c>
      <c r="H28" s="2">
        <v>1532</v>
      </c>
      <c r="I28" s="2">
        <v>688</v>
      </c>
      <c r="J28" s="2">
        <v>517</v>
      </c>
      <c r="K28" s="2">
        <v>342</v>
      </c>
      <c r="L28" s="2">
        <v>1230</v>
      </c>
      <c r="M28" s="30">
        <v>792</v>
      </c>
      <c r="N28" s="5">
        <f t="shared" si="0"/>
        <v>2022</v>
      </c>
      <c r="O28" s="2">
        <v>349</v>
      </c>
      <c r="P28" s="2">
        <v>641</v>
      </c>
      <c r="Q28" s="2">
        <v>513</v>
      </c>
      <c r="R28" s="2">
        <v>253</v>
      </c>
      <c r="S28" s="2">
        <v>183</v>
      </c>
      <c r="T28" s="2">
        <v>83</v>
      </c>
    </row>
    <row r="29" spans="1:20" ht="14.5" x14ac:dyDescent="0.3">
      <c r="A29" s="4" t="s">
        <v>34</v>
      </c>
      <c r="B29" s="4" t="s">
        <v>38</v>
      </c>
      <c r="C29" s="2">
        <v>3164</v>
      </c>
      <c r="D29" s="2">
        <v>2693</v>
      </c>
      <c r="E29" s="5">
        <v>5857</v>
      </c>
      <c r="F29" s="2">
        <v>689</v>
      </c>
      <c r="G29" s="2">
        <v>1812</v>
      </c>
      <c r="H29" s="2">
        <v>1543</v>
      </c>
      <c r="I29" s="2">
        <v>868</v>
      </c>
      <c r="J29" s="2">
        <v>515</v>
      </c>
      <c r="K29" s="2">
        <v>430</v>
      </c>
      <c r="L29" s="2">
        <v>1224</v>
      </c>
      <c r="M29" s="30">
        <v>598</v>
      </c>
      <c r="N29" s="5">
        <f t="shared" si="0"/>
        <v>1822</v>
      </c>
      <c r="O29" s="2">
        <v>249</v>
      </c>
      <c r="P29" s="2">
        <v>544</v>
      </c>
      <c r="Q29" s="2">
        <v>480</v>
      </c>
      <c r="R29" s="2">
        <v>312</v>
      </c>
      <c r="S29" s="2">
        <v>158</v>
      </c>
      <c r="T29" s="2">
        <v>79</v>
      </c>
    </row>
    <row r="30" spans="1:20" ht="14.5" x14ac:dyDescent="0.3">
      <c r="A30" s="4" t="s">
        <v>34</v>
      </c>
      <c r="B30" s="4" t="s">
        <v>37</v>
      </c>
      <c r="C30" s="2">
        <v>3405</v>
      </c>
      <c r="D30" s="2">
        <v>3013</v>
      </c>
      <c r="E30" s="5">
        <v>6418</v>
      </c>
      <c r="F30" s="2">
        <v>960</v>
      </c>
      <c r="G30" s="2">
        <v>2045</v>
      </c>
      <c r="H30" s="2">
        <v>1472</v>
      </c>
      <c r="I30" s="2">
        <v>931</v>
      </c>
      <c r="J30" s="2">
        <v>578</v>
      </c>
      <c r="K30" s="2">
        <v>432</v>
      </c>
      <c r="L30" s="2">
        <v>1617</v>
      </c>
      <c r="M30" s="30">
        <v>1114</v>
      </c>
      <c r="N30" s="5">
        <f t="shared" si="0"/>
        <v>2731</v>
      </c>
      <c r="O30" s="2">
        <v>569</v>
      </c>
      <c r="P30" s="2">
        <v>881</v>
      </c>
      <c r="Q30" s="2">
        <v>606</v>
      </c>
      <c r="R30" s="2">
        <v>370</v>
      </c>
      <c r="S30" s="2">
        <v>191</v>
      </c>
      <c r="T30" s="2">
        <v>114</v>
      </c>
    </row>
    <row r="31" spans="1:20" ht="14.5" x14ac:dyDescent="0.3">
      <c r="A31" s="4" t="s">
        <v>34</v>
      </c>
      <c r="B31" s="4" t="s">
        <v>40</v>
      </c>
      <c r="C31" s="2">
        <v>5667</v>
      </c>
      <c r="D31" s="2">
        <v>5870</v>
      </c>
      <c r="E31" s="5">
        <v>11537</v>
      </c>
      <c r="F31" s="2">
        <v>1258</v>
      </c>
      <c r="G31" s="2">
        <v>3906</v>
      </c>
      <c r="H31" s="2">
        <v>3072</v>
      </c>
      <c r="I31" s="2">
        <v>1426</v>
      </c>
      <c r="J31" s="2">
        <v>1091</v>
      </c>
      <c r="K31" s="2">
        <v>784</v>
      </c>
      <c r="L31" s="2">
        <v>1539</v>
      </c>
      <c r="M31" s="30">
        <v>972</v>
      </c>
      <c r="N31" s="5">
        <f t="shared" si="0"/>
        <v>2511</v>
      </c>
      <c r="O31" s="2">
        <v>348</v>
      </c>
      <c r="P31" s="2">
        <v>711</v>
      </c>
      <c r="Q31" s="2">
        <v>695</v>
      </c>
      <c r="R31" s="2">
        <v>385</v>
      </c>
      <c r="S31" s="2">
        <v>241</v>
      </c>
      <c r="T31" s="2">
        <v>131</v>
      </c>
    </row>
    <row r="32" spans="1:20" ht="14.5" x14ac:dyDescent="0.3">
      <c r="A32" s="4" t="s">
        <v>34</v>
      </c>
      <c r="B32" s="4" t="s">
        <v>35</v>
      </c>
      <c r="C32" s="2">
        <v>7318</v>
      </c>
      <c r="D32" s="2">
        <v>5926</v>
      </c>
      <c r="E32" s="5">
        <v>13244</v>
      </c>
      <c r="F32" s="2">
        <v>1301</v>
      </c>
      <c r="G32" s="2">
        <v>4302</v>
      </c>
      <c r="H32" s="2">
        <v>3718</v>
      </c>
      <c r="I32" s="2">
        <v>1950</v>
      </c>
      <c r="J32" s="2">
        <v>1179</v>
      </c>
      <c r="K32" s="2">
        <v>794</v>
      </c>
      <c r="L32" s="2">
        <v>2561</v>
      </c>
      <c r="M32" s="30">
        <v>1232</v>
      </c>
      <c r="N32" s="5">
        <f t="shared" si="0"/>
        <v>3793</v>
      </c>
      <c r="O32" s="2">
        <v>474</v>
      </c>
      <c r="P32" s="2">
        <v>1034</v>
      </c>
      <c r="Q32" s="2">
        <v>1088</v>
      </c>
      <c r="R32" s="2">
        <v>686</v>
      </c>
      <c r="S32" s="2">
        <v>350</v>
      </c>
      <c r="T32" s="2">
        <v>161</v>
      </c>
    </row>
    <row r="33" spans="1:20" ht="14.5" x14ac:dyDescent="0.3">
      <c r="A33" s="4" t="s">
        <v>34</v>
      </c>
      <c r="B33" s="4" t="s">
        <v>41</v>
      </c>
      <c r="C33" s="2">
        <v>4252</v>
      </c>
      <c r="D33" s="2">
        <v>4055</v>
      </c>
      <c r="E33" s="5">
        <v>8307</v>
      </c>
      <c r="F33" s="2">
        <v>760</v>
      </c>
      <c r="G33" s="2">
        <v>2728</v>
      </c>
      <c r="H33" s="2">
        <v>2390</v>
      </c>
      <c r="I33" s="2">
        <v>1228</v>
      </c>
      <c r="J33" s="2">
        <v>716</v>
      </c>
      <c r="K33" s="2">
        <v>485</v>
      </c>
      <c r="L33" s="2">
        <v>1377</v>
      </c>
      <c r="M33" s="30">
        <v>943</v>
      </c>
      <c r="N33" s="5">
        <f t="shared" si="0"/>
        <v>2320</v>
      </c>
      <c r="O33" s="2">
        <v>327</v>
      </c>
      <c r="P33" s="2">
        <v>661</v>
      </c>
      <c r="Q33" s="2">
        <v>605</v>
      </c>
      <c r="R33" s="2">
        <v>420</v>
      </c>
      <c r="S33" s="2">
        <v>203</v>
      </c>
      <c r="T33" s="2">
        <v>104</v>
      </c>
    </row>
    <row r="34" spans="1:20" ht="14.5" x14ac:dyDescent="0.3">
      <c r="A34" s="4" t="s">
        <v>34</v>
      </c>
      <c r="B34" s="4" t="s">
        <v>42</v>
      </c>
      <c r="C34" s="2">
        <v>543</v>
      </c>
      <c r="D34" s="2">
        <v>163</v>
      </c>
      <c r="E34" s="5">
        <v>706</v>
      </c>
      <c r="F34" s="2">
        <v>147</v>
      </c>
      <c r="G34" s="2">
        <v>199</v>
      </c>
      <c r="H34" s="2">
        <v>161</v>
      </c>
      <c r="I34" s="2">
        <v>116</v>
      </c>
      <c r="J34" s="2">
        <v>54</v>
      </c>
      <c r="K34" s="2">
        <v>29</v>
      </c>
      <c r="L34" s="2">
        <v>356</v>
      </c>
      <c r="M34" s="30">
        <v>101</v>
      </c>
      <c r="N34" s="5">
        <f t="shared" si="0"/>
        <v>457</v>
      </c>
      <c r="O34" s="2">
        <v>89</v>
      </c>
      <c r="P34" s="2">
        <v>121</v>
      </c>
      <c r="Q34" s="2">
        <v>110</v>
      </c>
      <c r="R34" s="2">
        <v>76</v>
      </c>
      <c r="S34" s="2">
        <v>43</v>
      </c>
      <c r="T34" s="2">
        <v>18</v>
      </c>
    </row>
    <row r="35" spans="1:20" ht="14.5" x14ac:dyDescent="0.3">
      <c r="A35" s="4" t="s">
        <v>44</v>
      </c>
      <c r="B35" s="4" t="s">
        <v>43</v>
      </c>
      <c r="C35" s="2">
        <v>17058</v>
      </c>
      <c r="D35" s="2">
        <v>15211</v>
      </c>
      <c r="E35" s="5">
        <v>32269</v>
      </c>
      <c r="F35" s="2">
        <v>3108</v>
      </c>
      <c r="G35" s="2">
        <v>10332</v>
      </c>
      <c r="H35" s="2">
        <v>8906</v>
      </c>
      <c r="I35" s="2">
        <v>4463</v>
      </c>
      <c r="J35" s="2">
        <v>3053</v>
      </c>
      <c r="K35" s="2">
        <v>2407</v>
      </c>
      <c r="L35" s="2">
        <v>5893</v>
      </c>
      <c r="M35" s="30">
        <v>4166</v>
      </c>
      <c r="N35" s="5">
        <f t="shared" si="0"/>
        <v>10059</v>
      </c>
      <c r="O35" s="2">
        <v>1206</v>
      </c>
      <c r="P35" s="2">
        <v>2818</v>
      </c>
      <c r="Q35" s="2">
        <v>2807</v>
      </c>
      <c r="R35" s="2">
        <v>1646</v>
      </c>
      <c r="S35" s="2">
        <v>996</v>
      </c>
      <c r="T35" s="2">
        <v>586</v>
      </c>
    </row>
    <row r="36" spans="1:20" ht="14.5" x14ac:dyDescent="0.3">
      <c r="A36" s="4" t="s">
        <v>44</v>
      </c>
      <c r="B36" s="4" t="s">
        <v>45</v>
      </c>
      <c r="C36" s="2">
        <v>11052</v>
      </c>
      <c r="D36" s="2">
        <v>8788</v>
      </c>
      <c r="E36" s="5">
        <v>19840</v>
      </c>
      <c r="F36" s="2">
        <v>2667</v>
      </c>
      <c r="G36" s="2">
        <v>6596</v>
      </c>
      <c r="H36" s="2">
        <v>4977</v>
      </c>
      <c r="I36" s="2">
        <v>2101</v>
      </c>
      <c r="J36" s="2">
        <v>1740</v>
      </c>
      <c r="K36" s="2">
        <v>1759</v>
      </c>
      <c r="L36" s="2">
        <v>4895</v>
      </c>
      <c r="M36" s="30">
        <v>3370</v>
      </c>
      <c r="N36" s="5">
        <f t="shared" si="0"/>
        <v>8265</v>
      </c>
      <c r="O36" s="2">
        <v>1279</v>
      </c>
      <c r="P36" s="2">
        <v>2627</v>
      </c>
      <c r="Q36" s="2">
        <v>1979</v>
      </c>
      <c r="R36" s="2">
        <v>1025</v>
      </c>
      <c r="S36" s="2">
        <v>775</v>
      </c>
      <c r="T36" s="2">
        <v>580</v>
      </c>
    </row>
    <row r="37" spans="1:20" ht="14.5" x14ac:dyDescent="0.3">
      <c r="A37" s="4" t="s">
        <v>44</v>
      </c>
      <c r="B37" s="4" t="s">
        <v>46</v>
      </c>
      <c r="C37" s="2">
        <v>5939</v>
      </c>
      <c r="D37" s="2">
        <v>4876</v>
      </c>
      <c r="E37" s="5">
        <v>10815</v>
      </c>
      <c r="F37" s="2">
        <v>1533</v>
      </c>
      <c r="G37" s="2">
        <v>3608</v>
      </c>
      <c r="H37" s="2">
        <v>2648</v>
      </c>
      <c r="I37" s="2">
        <v>1273</v>
      </c>
      <c r="J37" s="2">
        <v>940</v>
      </c>
      <c r="K37" s="2">
        <v>813</v>
      </c>
      <c r="L37" s="2">
        <v>2828</v>
      </c>
      <c r="M37" s="30">
        <v>1737</v>
      </c>
      <c r="N37" s="5">
        <f t="shared" si="0"/>
        <v>4565</v>
      </c>
      <c r="O37" s="2">
        <v>730</v>
      </c>
      <c r="P37" s="2">
        <v>1497</v>
      </c>
      <c r="Q37" s="2">
        <v>1123</v>
      </c>
      <c r="R37" s="2">
        <v>585</v>
      </c>
      <c r="S37" s="2">
        <v>385</v>
      </c>
      <c r="T37" s="2">
        <v>245</v>
      </c>
    </row>
    <row r="38" spans="1:20" ht="14.5" x14ac:dyDescent="0.3">
      <c r="A38" s="4" t="s">
        <v>44</v>
      </c>
      <c r="B38" s="4" t="s">
        <v>47</v>
      </c>
      <c r="C38" s="2">
        <v>15840</v>
      </c>
      <c r="D38" s="2">
        <v>14697</v>
      </c>
      <c r="E38" s="5">
        <v>30537</v>
      </c>
      <c r="F38" s="2">
        <v>4213</v>
      </c>
      <c r="G38" s="2">
        <v>9715</v>
      </c>
      <c r="H38" s="2">
        <v>7790</v>
      </c>
      <c r="I38" s="2">
        <v>4007</v>
      </c>
      <c r="J38" s="2">
        <v>2943</v>
      </c>
      <c r="K38" s="2">
        <v>1869</v>
      </c>
      <c r="L38" s="2">
        <v>7285</v>
      </c>
      <c r="M38" s="30">
        <v>6177</v>
      </c>
      <c r="N38" s="5">
        <f t="shared" si="0"/>
        <v>13462</v>
      </c>
      <c r="O38" s="2">
        <v>2302</v>
      </c>
      <c r="P38" s="2">
        <v>3827</v>
      </c>
      <c r="Q38" s="2">
        <v>3241</v>
      </c>
      <c r="R38" s="2">
        <v>2021</v>
      </c>
      <c r="S38" s="2">
        <v>1419</v>
      </c>
      <c r="T38" s="2">
        <v>652</v>
      </c>
    </row>
    <row r="39" spans="1:20" ht="14.5" x14ac:dyDescent="0.3">
      <c r="A39" s="4" t="s">
        <v>44</v>
      </c>
      <c r="B39" s="4" t="s">
        <v>48</v>
      </c>
      <c r="C39" s="2">
        <v>9411</v>
      </c>
      <c r="D39" s="2">
        <v>8963</v>
      </c>
      <c r="E39" s="5">
        <v>18374</v>
      </c>
      <c r="F39" s="2">
        <v>2157</v>
      </c>
      <c r="G39" s="2">
        <v>5835</v>
      </c>
      <c r="H39" s="2">
        <v>4813</v>
      </c>
      <c r="I39" s="2">
        <v>2360</v>
      </c>
      <c r="J39" s="2">
        <v>1922</v>
      </c>
      <c r="K39" s="2">
        <v>1287</v>
      </c>
      <c r="L39" s="2">
        <v>3632</v>
      </c>
      <c r="M39" s="30">
        <v>2937</v>
      </c>
      <c r="N39" s="5">
        <f t="shared" si="0"/>
        <v>6569</v>
      </c>
      <c r="O39" s="2">
        <v>1021</v>
      </c>
      <c r="P39" s="2">
        <v>1922</v>
      </c>
      <c r="Q39" s="2">
        <v>1547</v>
      </c>
      <c r="R39" s="2">
        <v>999</v>
      </c>
      <c r="S39" s="2">
        <v>751</v>
      </c>
      <c r="T39" s="2">
        <v>329</v>
      </c>
    </row>
    <row r="40" spans="1:20" ht="14.5" x14ac:dyDescent="0.3">
      <c r="A40" s="4" t="s">
        <v>44</v>
      </c>
      <c r="B40" s="4" t="s">
        <v>49</v>
      </c>
      <c r="C40" s="2">
        <v>19071</v>
      </c>
      <c r="D40" s="2">
        <v>17943</v>
      </c>
      <c r="E40" s="5">
        <v>37014</v>
      </c>
      <c r="F40" s="2">
        <v>4775</v>
      </c>
      <c r="G40" s="2">
        <v>12620</v>
      </c>
      <c r="H40" s="2">
        <v>9137</v>
      </c>
      <c r="I40" s="2">
        <v>4728</v>
      </c>
      <c r="J40" s="2">
        <v>3349</v>
      </c>
      <c r="K40" s="2">
        <v>2405</v>
      </c>
      <c r="L40" s="2">
        <v>7917</v>
      </c>
      <c r="M40" s="30">
        <v>6330</v>
      </c>
      <c r="N40" s="5">
        <f t="shared" si="0"/>
        <v>14247</v>
      </c>
      <c r="O40" s="2">
        <v>2346</v>
      </c>
      <c r="P40" s="2">
        <v>4360</v>
      </c>
      <c r="Q40" s="2">
        <v>3353</v>
      </c>
      <c r="R40" s="2">
        <v>2129</v>
      </c>
      <c r="S40" s="2">
        <v>1406</v>
      </c>
      <c r="T40" s="2">
        <v>653</v>
      </c>
    </row>
    <row r="41" spans="1:20" ht="14.5" x14ac:dyDescent="0.3">
      <c r="A41" s="4" t="s">
        <v>51</v>
      </c>
      <c r="B41" s="4" t="s">
        <v>50</v>
      </c>
      <c r="C41" s="2">
        <v>11620</v>
      </c>
      <c r="D41" s="2">
        <v>10663</v>
      </c>
      <c r="E41" s="5">
        <v>22283</v>
      </c>
      <c r="F41" s="2">
        <v>2803</v>
      </c>
      <c r="G41" s="2">
        <v>7100</v>
      </c>
      <c r="H41" s="2">
        <v>5766</v>
      </c>
      <c r="I41" s="2">
        <v>2905</v>
      </c>
      <c r="J41" s="2">
        <v>2202</v>
      </c>
      <c r="K41" s="2">
        <v>1507</v>
      </c>
      <c r="L41" s="2">
        <v>3348</v>
      </c>
      <c r="M41" s="30">
        <v>1855</v>
      </c>
      <c r="N41" s="5">
        <f t="shared" si="0"/>
        <v>5203</v>
      </c>
      <c r="O41" s="2">
        <v>700</v>
      </c>
      <c r="P41" s="2">
        <v>1376</v>
      </c>
      <c r="Q41" s="2">
        <v>1440</v>
      </c>
      <c r="R41" s="2">
        <v>857</v>
      </c>
      <c r="S41" s="2">
        <v>589</v>
      </c>
      <c r="T41" s="2">
        <v>241</v>
      </c>
    </row>
    <row r="42" spans="1:20" ht="14.5" x14ac:dyDescent="0.3">
      <c r="A42" s="4" t="s">
        <v>51</v>
      </c>
      <c r="B42" s="4" t="s">
        <v>54</v>
      </c>
      <c r="C42" s="2">
        <v>1941</v>
      </c>
      <c r="D42" s="2">
        <v>2048</v>
      </c>
      <c r="E42" s="5">
        <v>3989</v>
      </c>
      <c r="F42" s="2">
        <v>544</v>
      </c>
      <c r="G42" s="2">
        <v>1137</v>
      </c>
      <c r="H42" s="2">
        <v>1061</v>
      </c>
      <c r="I42" s="2">
        <v>517</v>
      </c>
      <c r="J42" s="2">
        <v>397</v>
      </c>
      <c r="K42" s="2">
        <v>333</v>
      </c>
      <c r="L42" s="2">
        <v>936</v>
      </c>
      <c r="M42" s="30">
        <v>683</v>
      </c>
      <c r="N42" s="5">
        <f t="shared" si="0"/>
        <v>1619</v>
      </c>
      <c r="O42" s="2">
        <v>253</v>
      </c>
      <c r="P42" s="2">
        <v>418</v>
      </c>
      <c r="Q42" s="2">
        <v>449</v>
      </c>
      <c r="R42" s="2">
        <v>241</v>
      </c>
      <c r="S42" s="2">
        <v>157</v>
      </c>
      <c r="T42" s="2">
        <v>101</v>
      </c>
    </row>
    <row r="43" spans="1:20" ht="14.5" x14ac:dyDescent="0.3">
      <c r="A43" s="4" t="s">
        <v>51</v>
      </c>
      <c r="B43" s="4" t="s">
        <v>52</v>
      </c>
      <c r="C43" s="2">
        <v>2781</v>
      </c>
      <c r="D43" s="2">
        <v>2529</v>
      </c>
      <c r="E43" s="5">
        <v>5310</v>
      </c>
      <c r="F43" s="2">
        <v>444</v>
      </c>
      <c r="G43" s="2">
        <v>1560</v>
      </c>
      <c r="H43" s="2">
        <v>1565</v>
      </c>
      <c r="I43" s="2">
        <v>772</v>
      </c>
      <c r="J43" s="2">
        <v>557</v>
      </c>
      <c r="K43" s="2">
        <v>412</v>
      </c>
      <c r="L43" s="2">
        <v>1222</v>
      </c>
      <c r="M43" s="30">
        <v>862</v>
      </c>
      <c r="N43" s="5">
        <f t="shared" si="0"/>
        <v>2084</v>
      </c>
      <c r="O43" s="2">
        <v>243</v>
      </c>
      <c r="P43" s="2">
        <v>561</v>
      </c>
      <c r="Q43" s="2">
        <v>612</v>
      </c>
      <c r="R43" s="2">
        <v>326</v>
      </c>
      <c r="S43" s="2">
        <v>209</v>
      </c>
      <c r="T43" s="2">
        <v>133</v>
      </c>
    </row>
    <row r="44" spans="1:20" ht="14.5" x14ac:dyDescent="0.3">
      <c r="A44" s="4" t="s">
        <v>51</v>
      </c>
      <c r="B44" s="4" t="s">
        <v>53</v>
      </c>
      <c r="C44" s="2">
        <v>2297</v>
      </c>
      <c r="D44" s="2">
        <v>2031</v>
      </c>
      <c r="E44" s="5">
        <v>4328</v>
      </c>
      <c r="F44" s="2">
        <v>433</v>
      </c>
      <c r="G44" s="2">
        <v>1291</v>
      </c>
      <c r="H44" s="2">
        <v>1295</v>
      </c>
      <c r="I44" s="2">
        <v>644</v>
      </c>
      <c r="J44" s="2">
        <v>401</v>
      </c>
      <c r="K44" s="2">
        <v>264</v>
      </c>
      <c r="L44" s="2">
        <v>897</v>
      </c>
      <c r="M44" s="30">
        <v>523</v>
      </c>
      <c r="N44" s="5">
        <f t="shared" si="0"/>
        <v>1420</v>
      </c>
      <c r="O44" s="2">
        <v>190</v>
      </c>
      <c r="P44" s="2">
        <v>430</v>
      </c>
      <c r="Q44" s="2">
        <v>417</v>
      </c>
      <c r="R44" s="2">
        <v>214</v>
      </c>
      <c r="S44" s="2">
        <v>124</v>
      </c>
      <c r="T44" s="2">
        <v>45</v>
      </c>
    </row>
    <row r="45" spans="1:20" ht="14.5" x14ac:dyDescent="0.3">
      <c r="A45" s="4" t="s">
        <v>51</v>
      </c>
      <c r="B45" s="4" t="s">
        <v>56</v>
      </c>
      <c r="C45" s="2">
        <v>14513</v>
      </c>
      <c r="D45" s="2">
        <v>14460</v>
      </c>
      <c r="E45" s="5">
        <v>28973</v>
      </c>
      <c r="F45" s="2">
        <v>3951</v>
      </c>
      <c r="G45" s="2">
        <v>9671</v>
      </c>
      <c r="H45" s="2">
        <v>7681</v>
      </c>
      <c r="I45" s="2">
        <v>3639</v>
      </c>
      <c r="J45" s="2">
        <v>2394</v>
      </c>
      <c r="K45" s="2">
        <v>1637</v>
      </c>
      <c r="L45" s="2">
        <v>4813</v>
      </c>
      <c r="M45" s="30">
        <v>3817</v>
      </c>
      <c r="N45" s="5">
        <f t="shared" si="0"/>
        <v>8630</v>
      </c>
      <c r="O45" s="2">
        <v>1414</v>
      </c>
      <c r="P45" s="2">
        <v>2637</v>
      </c>
      <c r="Q45" s="2">
        <v>2097</v>
      </c>
      <c r="R45" s="2">
        <v>1306</v>
      </c>
      <c r="S45" s="2">
        <v>799</v>
      </c>
      <c r="T45" s="2">
        <v>377</v>
      </c>
    </row>
    <row r="46" spans="1:20" ht="14.5" x14ac:dyDescent="0.3">
      <c r="A46" s="4" t="s">
        <v>51</v>
      </c>
      <c r="B46" s="4" t="s">
        <v>55</v>
      </c>
      <c r="C46" s="2">
        <v>12988</v>
      </c>
      <c r="D46" s="2">
        <v>14117</v>
      </c>
      <c r="E46" s="5">
        <v>27105</v>
      </c>
      <c r="F46" s="2">
        <v>4801</v>
      </c>
      <c r="G46" s="2">
        <v>9195</v>
      </c>
      <c r="H46" s="2">
        <v>6167</v>
      </c>
      <c r="I46" s="2">
        <v>3224</v>
      </c>
      <c r="J46" s="2">
        <v>2192</v>
      </c>
      <c r="K46" s="2">
        <v>1526</v>
      </c>
      <c r="L46" s="2">
        <v>6057</v>
      </c>
      <c r="M46" s="30">
        <v>6077</v>
      </c>
      <c r="N46" s="5">
        <f t="shared" si="0"/>
        <v>12134</v>
      </c>
      <c r="O46" s="2">
        <v>2436</v>
      </c>
      <c r="P46" s="2">
        <v>3811</v>
      </c>
      <c r="Q46" s="2">
        <v>2596</v>
      </c>
      <c r="R46" s="2">
        <v>1669</v>
      </c>
      <c r="S46" s="2">
        <v>1089</v>
      </c>
      <c r="T46" s="2">
        <v>533</v>
      </c>
    </row>
    <row r="47" spans="1:20" ht="14.5" x14ac:dyDescent="0.3">
      <c r="A47" s="4" t="s">
        <v>58</v>
      </c>
      <c r="B47" s="4" t="s">
        <v>57</v>
      </c>
      <c r="C47" s="2">
        <v>13771</v>
      </c>
      <c r="D47" s="2">
        <v>11996</v>
      </c>
      <c r="E47" s="5">
        <v>25767</v>
      </c>
      <c r="F47" s="2">
        <v>3184</v>
      </c>
      <c r="G47" s="2">
        <v>8289</v>
      </c>
      <c r="H47" s="2">
        <v>7051</v>
      </c>
      <c r="I47" s="2">
        <v>3593</v>
      </c>
      <c r="J47" s="2">
        <v>2188</v>
      </c>
      <c r="K47" s="2">
        <v>1463</v>
      </c>
      <c r="L47" s="2">
        <v>5917</v>
      </c>
      <c r="M47" s="30">
        <v>3582</v>
      </c>
      <c r="N47" s="5">
        <f t="shared" si="0"/>
        <v>9499</v>
      </c>
      <c r="O47" s="2">
        <v>1420</v>
      </c>
      <c r="P47" s="2">
        <v>2987</v>
      </c>
      <c r="Q47" s="2">
        <v>2657</v>
      </c>
      <c r="R47" s="2">
        <v>1426</v>
      </c>
      <c r="S47" s="2">
        <v>696</v>
      </c>
      <c r="T47" s="2">
        <v>313</v>
      </c>
    </row>
    <row r="48" spans="1:20" ht="14.5" x14ac:dyDescent="0.3">
      <c r="A48" s="4" t="s">
        <v>58</v>
      </c>
      <c r="B48" s="4" t="s">
        <v>59</v>
      </c>
      <c r="C48" s="2">
        <v>5232</v>
      </c>
      <c r="D48" s="2">
        <v>5035</v>
      </c>
      <c r="E48" s="5">
        <v>10267</v>
      </c>
      <c r="F48" s="2">
        <v>1685</v>
      </c>
      <c r="G48" s="2">
        <v>3188</v>
      </c>
      <c r="H48" s="2">
        <v>2592</v>
      </c>
      <c r="I48" s="2">
        <v>1319</v>
      </c>
      <c r="J48" s="2">
        <v>841</v>
      </c>
      <c r="K48" s="2">
        <v>642</v>
      </c>
      <c r="L48" s="2">
        <v>3230</v>
      </c>
      <c r="M48" s="30">
        <v>2604</v>
      </c>
      <c r="N48" s="5">
        <f t="shared" si="0"/>
        <v>5834</v>
      </c>
      <c r="O48" s="2">
        <v>1014</v>
      </c>
      <c r="P48" s="2">
        <v>1764</v>
      </c>
      <c r="Q48" s="2">
        <v>1458</v>
      </c>
      <c r="R48" s="2">
        <v>838</v>
      </c>
      <c r="S48" s="2">
        <v>505</v>
      </c>
      <c r="T48" s="2">
        <v>255</v>
      </c>
    </row>
    <row r="49" spans="1:20" ht="14.5" x14ac:dyDescent="0.3">
      <c r="A49" s="4" t="s">
        <v>58</v>
      </c>
      <c r="B49" s="4" t="s">
        <v>61</v>
      </c>
      <c r="C49" s="2">
        <v>6565</v>
      </c>
      <c r="D49" s="2">
        <v>5931</v>
      </c>
      <c r="E49" s="5">
        <v>12496</v>
      </c>
      <c r="F49" s="2">
        <v>2343</v>
      </c>
      <c r="G49" s="2">
        <v>4071</v>
      </c>
      <c r="H49" s="2">
        <v>2825</v>
      </c>
      <c r="I49" s="2">
        <v>1444</v>
      </c>
      <c r="J49" s="2">
        <v>1021</v>
      </c>
      <c r="K49" s="2">
        <v>792</v>
      </c>
      <c r="L49" s="2">
        <v>4080</v>
      </c>
      <c r="M49" s="30">
        <v>3008</v>
      </c>
      <c r="N49" s="5">
        <f t="shared" si="0"/>
        <v>7088</v>
      </c>
      <c r="O49" s="2">
        <v>1458</v>
      </c>
      <c r="P49" s="2">
        <v>2247</v>
      </c>
      <c r="Q49" s="2">
        <v>1560</v>
      </c>
      <c r="R49" s="2">
        <v>882</v>
      </c>
      <c r="S49" s="2">
        <v>602</v>
      </c>
      <c r="T49" s="2">
        <v>339</v>
      </c>
    </row>
    <row r="50" spans="1:20" ht="14.5" x14ac:dyDescent="0.3">
      <c r="A50" s="4" t="s">
        <v>58</v>
      </c>
      <c r="B50" s="4" t="s">
        <v>60</v>
      </c>
      <c r="C50" s="2">
        <v>12791</v>
      </c>
      <c r="D50" s="2">
        <v>10692</v>
      </c>
      <c r="E50" s="5">
        <v>23483</v>
      </c>
      <c r="F50" s="2">
        <v>4545</v>
      </c>
      <c r="G50" s="2">
        <v>7757</v>
      </c>
      <c r="H50" s="2">
        <v>5141</v>
      </c>
      <c r="I50" s="2">
        <v>2710</v>
      </c>
      <c r="J50" s="2">
        <v>1944</v>
      </c>
      <c r="K50" s="2">
        <v>1386</v>
      </c>
      <c r="L50" s="2">
        <v>7947</v>
      </c>
      <c r="M50" s="30">
        <v>4934</v>
      </c>
      <c r="N50" s="5">
        <f t="shared" si="0"/>
        <v>12881</v>
      </c>
      <c r="O50" s="2">
        <v>2670</v>
      </c>
      <c r="P50" s="2">
        <v>4055</v>
      </c>
      <c r="Q50" s="2">
        <v>2940</v>
      </c>
      <c r="R50" s="2">
        <v>1609</v>
      </c>
      <c r="S50" s="2">
        <v>1065</v>
      </c>
      <c r="T50" s="2">
        <v>542</v>
      </c>
    </row>
    <row r="51" spans="1:20" ht="14.5" x14ac:dyDescent="0.3">
      <c r="A51" s="4" t="s">
        <v>58</v>
      </c>
      <c r="B51" s="4" t="s">
        <v>62</v>
      </c>
      <c r="C51" s="2">
        <v>1748</v>
      </c>
      <c r="D51" s="2">
        <v>1968</v>
      </c>
      <c r="E51" s="5">
        <v>3716</v>
      </c>
      <c r="F51" s="2">
        <v>683</v>
      </c>
      <c r="G51" s="2">
        <v>1183</v>
      </c>
      <c r="H51" s="2">
        <v>920</v>
      </c>
      <c r="I51" s="2">
        <v>440</v>
      </c>
      <c r="J51" s="2">
        <v>310</v>
      </c>
      <c r="K51" s="2">
        <v>180</v>
      </c>
      <c r="L51" s="2">
        <v>1234</v>
      </c>
      <c r="M51" s="30">
        <v>1288</v>
      </c>
      <c r="N51" s="5">
        <f t="shared" si="0"/>
        <v>2522</v>
      </c>
      <c r="O51" s="2">
        <v>477</v>
      </c>
      <c r="P51" s="2">
        <v>785</v>
      </c>
      <c r="Q51" s="2">
        <v>624</v>
      </c>
      <c r="R51" s="2">
        <v>329</v>
      </c>
      <c r="S51" s="2">
        <v>211</v>
      </c>
      <c r="T51" s="2">
        <v>96</v>
      </c>
    </row>
    <row r="52" spans="1:20" ht="14.5" x14ac:dyDescent="0.3">
      <c r="A52" s="4" t="s">
        <v>64</v>
      </c>
      <c r="B52" s="4" t="s">
        <v>63</v>
      </c>
      <c r="C52" s="2">
        <v>5524</v>
      </c>
      <c r="D52" s="2">
        <v>5004</v>
      </c>
      <c r="E52" s="5">
        <v>10528</v>
      </c>
      <c r="F52" s="2">
        <v>1466</v>
      </c>
      <c r="G52" s="2">
        <v>3294</v>
      </c>
      <c r="H52" s="2">
        <v>2812</v>
      </c>
      <c r="I52" s="2">
        <v>1354</v>
      </c>
      <c r="J52" s="2">
        <v>946</v>
      </c>
      <c r="K52" s="2">
        <v>656</v>
      </c>
      <c r="L52" s="2">
        <v>2338</v>
      </c>
      <c r="M52" s="30">
        <v>1401</v>
      </c>
      <c r="N52" s="5">
        <f t="shared" si="0"/>
        <v>3739</v>
      </c>
      <c r="O52" s="2">
        <v>660</v>
      </c>
      <c r="P52" s="2">
        <v>1182</v>
      </c>
      <c r="Q52" s="2">
        <v>980</v>
      </c>
      <c r="R52" s="2">
        <v>474</v>
      </c>
      <c r="S52" s="2">
        <v>284</v>
      </c>
      <c r="T52" s="2">
        <v>159</v>
      </c>
    </row>
    <row r="53" spans="1:20" ht="14.5" x14ac:dyDescent="0.3">
      <c r="A53" s="4" t="s">
        <v>64</v>
      </c>
      <c r="B53" s="4" t="s">
        <v>67</v>
      </c>
      <c r="C53" s="2">
        <v>10261</v>
      </c>
      <c r="D53" s="2">
        <v>9993</v>
      </c>
      <c r="E53" s="5">
        <v>20254</v>
      </c>
      <c r="F53" s="2">
        <v>2704</v>
      </c>
      <c r="G53" s="2">
        <v>6449</v>
      </c>
      <c r="H53" s="2">
        <v>5038</v>
      </c>
      <c r="I53" s="2">
        <v>2575</v>
      </c>
      <c r="J53" s="2">
        <v>1862</v>
      </c>
      <c r="K53" s="2">
        <v>1626</v>
      </c>
      <c r="L53" s="2">
        <v>3385</v>
      </c>
      <c r="M53" s="30">
        <v>2335</v>
      </c>
      <c r="N53" s="5">
        <f t="shared" si="0"/>
        <v>5720</v>
      </c>
      <c r="O53" s="2">
        <v>973</v>
      </c>
      <c r="P53" s="2">
        <v>1717</v>
      </c>
      <c r="Q53" s="2">
        <v>1373</v>
      </c>
      <c r="R53" s="2">
        <v>811</v>
      </c>
      <c r="S53" s="2">
        <v>527</v>
      </c>
      <c r="T53" s="2">
        <v>319</v>
      </c>
    </row>
    <row r="54" spans="1:20" ht="14.5" x14ac:dyDescent="0.3">
      <c r="A54" s="4" t="s">
        <v>64</v>
      </c>
      <c r="B54" s="4" t="s">
        <v>65</v>
      </c>
      <c r="C54" s="2">
        <v>3948</v>
      </c>
      <c r="D54" s="2">
        <v>3601</v>
      </c>
      <c r="E54" s="5">
        <v>7549</v>
      </c>
      <c r="F54" s="2">
        <v>861</v>
      </c>
      <c r="G54" s="2">
        <v>2349</v>
      </c>
      <c r="H54" s="2">
        <v>1914</v>
      </c>
      <c r="I54" s="2">
        <v>1110</v>
      </c>
      <c r="J54" s="2">
        <v>683</v>
      </c>
      <c r="K54" s="2">
        <v>632</v>
      </c>
      <c r="L54" s="2">
        <v>2001</v>
      </c>
      <c r="M54" s="30">
        <v>1342</v>
      </c>
      <c r="N54" s="5">
        <f t="shared" si="0"/>
        <v>3343</v>
      </c>
      <c r="O54" s="2">
        <v>419</v>
      </c>
      <c r="P54" s="2">
        <v>1078</v>
      </c>
      <c r="Q54" s="2">
        <v>862</v>
      </c>
      <c r="R54" s="2">
        <v>551</v>
      </c>
      <c r="S54" s="2">
        <v>292</v>
      </c>
      <c r="T54" s="2">
        <v>141</v>
      </c>
    </row>
    <row r="55" spans="1:20" ht="14.5" x14ac:dyDescent="0.3">
      <c r="A55" s="4" t="s">
        <v>64</v>
      </c>
      <c r="B55" s="4" t="s">
        <v>66</v>
      </c>
      <c r="C55" s="2">
        <v>3788</v>
      </c>
      <c r="D55" s="2">
        <v>3521</v>
      </c>
      <c r="E55" s="5">
        <v>7309</v>
      </c>
      <c r="F55" s="2">
        <v>890</v>
      </c>
      <c r="G55" s="2">
        <v>2195</v>
      </c>
      <c r="H55" s="2">
        <v>1862</v>
      </c>
      <c r="I55" s="2">
        <v>1043</v>
      </c>
      <c r="J55" s="2">
        <v>719</v>
      </c>
      <c r="K55" s="2">
        <v>600</v>
      </c>
      <c r="L55" s="2">
        <v>1320</v>
      </c>
      <c r="M55" s="30">
        <v>720</v>
      </c>
      <c r="N55" s="5">
        <f t="shared" si="0"/>
        <v>2040</v>
      </c>
      <c r="O55" s="2">
        <v>329</v>
      </c>
      <c r="P55" s="2">
        <v>640</v>
      </c>
      <c r="Q55" s="2">
        <v>495</v>
      </c>
      <c r="R55" s="2">
        <v>295</v>
      </c>
      <c r="S55" s="2">
        <v>191</v>
      </c>
      <c r="T55" s="2">
        <v>90</v>
      </c>
    </row>
    <row r="56" spans="1:20" ht="14.5" x14ac:dyDescent="0.3">
      <c r="A56" s="4" t="s">
        <v>64</v>
      </c>
      <c r="B56" s="4" t="s">
        <v>69</v>
      </c>
      <c r="C56" s="2">
        <v>2277</v>
      </c>
      <c r="D56" s="2">
        <v>2337</v>
      </c>
      <c r="E56" s="5">
        <v>4614</v>
      </c>
      <c r="F56" s="2">
        <v>691</v>
      </c>
      <c r="G56" s="2">
        <v>1534</v>
      </c>
      <c r="H56" s="2">
        <v>1091</v>
      </c>
      <c r="I56" s="2">
        <v>523</v>
      </c>
      <c r="J56" s="2">
        <v>410</v>
      </c>
      <c r="K56" s="2">
        <v>365</v>
      </c>
      <c r="L56" s="2">
        <v>1333</v>
      </c>
      <c r="M56" s="30">
        <v>1125</v>
      </c>
      <c r="N56" s="5">
        <f t="shared" si="0"/>
        <v>2458</v>
      </c>
      <c r="O56" s="2">
        <v>433</v>
      </c>
      <c r="P56" s="2">
        <v>770</v>
      </c>
      <c r="Q56" s="2">
        <v>547</v>
      </c>
      <c r="R56" s="2">
        <v>334</v>
      </c>
      <c r="S56" s="2">
        <v>224</v>
      </c>
      <c r="T56" s="2">
        <v>150</v>
      </c>
    </row>
    <row r="57" spans="1:20" ht="14.5" x14ac:dyDescent="0.3">
      <c r="A57" s="4" t="s">
        <v>64</v>
      </c>
      <c r="B57" s="4" t="s">
        <v>68</v>
      </c>
      <c r="C57" s="2">
        <v>3780</v>
      </c>
      <c r="D57" s="2">
        <v>3813</v>
      </c>
      <c r="E57" s="5">
        <v>7593</v>
      </c>
      <c r="F57" s="2">
        <v>1059</v>
      </c>
      <c r="G57" s="2">
        <v>2418</v>
      </c>
      <c r="H57" s="2">
        <v>1899</v>
      </c>
      <c r="I57" s="2">
        <v>955</v>
      </c>
      <c r="J57" s="2">
        <v>685</v>
      </c>
      <c r="K57" s="2">
        <v>577</v>
      </c>
      <c r="L57" s="2">
        <v>1398</v>
      </c>
      <c r="M57" s="30">
        <v>878</v>
      </c>
      <c r="N57" s="5">
        <f t="shared" si="0"/>
        <v>2276</v>
      </c>
      <c r="O57" s="2">
        <v>311</v>
      </c>
      <c r="P57" s="2">
        <v>662</v>
      </c>
      <c r="Q57" s="2">
        <v>581</v>
      </c>
      <c r="R57" s="2">
        <v>348</v>
      </c>
      <c r="S57" s="2">
        <v>225</v>
      </c>
      <c r="T57" s="2">
        <v>149</v>
      </c>
    </row>
    <row r="58" spans="1:20" ht="14.5" x14ac:dyDescent="0.3">
      <c r="A58" s="4" t="s">
        <v>64</v>
      </c>
      <c r="B58" s="4" t="s">
        <v>70</v>
      </c>
      <c r="C58" s="2">
        <v>3095</v>
      </c>
      <c r="D58" s="2">
        <v>2416</v>
      </c>
      <c r="E58" s="5">
        <v>5511</v>
      </c>
      <c r="F58" s="2">
        <v>1489</v>
      </c>
      <c r="G58" s="2">
        <v>1745</v>
      </c>
      <c r="H58" s="2">
        <v>1130</v>
      </c>
      <c r="I58" s="2">
        <v>612</v>
      </c>
      <c r="J58" s="2">
        <v>317</v>
      </c>
      <c r="K58" s="2">
        <v>218</v>
      </c>
      <c r="L58" s="2">
        <v>2442</v>
      </c>
      <c r="M58" s="30">
        <v>1916</v>
      </c>
      <c r="N58" s="5">
        <f t="shared" si="0"/>
        <v>4358</v>
      </c>
      <c r="O58" s="2">
        <v>1182</v>
      </c>
      <c r="P58" s="2">
        <v>1365</v>
      </c>
      <c r="Q58" s="2">
        <v>933</v>
      </c>
      <c r="R58" s="2">
        <v>491</v>
      </c>
      <c r="S58" s="2">
        <v>247</v>
      </c>
      <c r="T58" s="2">
        <v>140</v>
      </c>
    </row>
    <row r="59" spans="1:20" ht="14.5" x14ac:dyDescent="0.3">
      <c r="A59" s="4" t="s">
        <v>72</v>
      </c>
      <c r="B59" s="4" t="s">
        <v>71</v>
      </c>
      <c r="C59" s="2">
        <v>14723</v>
      </c>
      <c r="D59" s="2">
        <v>12248</v>
      </c>
      <c r="E59" s="5">
        <v>26971</v>
      </c>
      <c r="F59" s="2">
        <v>2485</v>
      </c>
      <c r="G59" s="2">
        <v>8227</v>
      </c>
      <c r="H59" s="2">
        <v>7596</v>
      </c>
      <c r="I59" s="2">
        <v>3681</v>
      </c>
      <c r="J59" s="2">
        <v>2803</v>
      </c>
      <c r="K59" s="2">
        <v>2179</v>
      </c>
      <c r="L59" s="2">
        <v>3239</v>
      </c>
      <c r="M59" s="30">
        <v>1568</v>
      </c>
      <c r="N59" s="5">
        <f t="shared" si="0"/>
        <v>4807</v>
      </c>
      <c r="O59" s="2">
        <v>506</v>
      </c>
      <c r="P59" s="2">
        <v>1352</v>
      </c>
      <c r="Q59" s="2">
        <v>1421</v>
      </c>
      <c r="R59" s="2">
        <v>848</v>
      </c>
      <c r="S59" s="2">
        <v>462</v>
      </c>
      <c r="T59" s="2">
        <v>218</v>
      </c>
    </row>
    <row r="60" spans="1:20" ht="14.5" x14ac:dyDescent="0.3">
      <c r="A60" s="4" t="s">
        <v>72</v>
      </c>
      <c r="B60" s="4" t="s">
        <v>73</v>
      </c>
      <c r="C60" s="2">
        <v>2860</v>
      </c>
      <c r="D60" s="2">
        <v>2373</v>
      </c>
      <c r="E60" s="5">
        <v>5233</v>
      </c>
      <c r="F60" s="2">
        <v>659</v>
      </c>
      <c r="G60" s="2">
        <v>1520</v>
      </c>
      <c r="H60" s="2">
        <v>1354</v>
      </c>
      <c r="I60" s="2">
        <v>701</v>
      </c>
      <c r="J60" s="2">
        <v>538</v>
      </c>
      <c r="K60" s="2">
        <v>461</v>
      </c>
      <c r="L60" s="2">
        <v>1123</v>
      </c>
      <c r="M60" s="30">
        <v>609</v>
      </c>
      <c r="N60" s="5">
        <f t="shared" si="0"/>
        <v>1732</v>
      </c>
      <c r="O60" s="2">
        <v>261</v>
      </c>
      <c r="P60" s="2">
        <v>473</v>
      </c>
      <c r="Q60" s="2">
        <v>422</v>
      </c>
      <c r="R60" s="2">
        <v>274</v>
      </c>
      <c r="S60" s="2">
        <v>190</v>
      </c>
      <c r="T60" s="2">
        <v>112</v>
      </c>
    </row>
    <row r="61" spans="1:20" ht="14.5" x14ac:dyDescent="0.3">
      <c r="A61" s="4" t="s">
        <v>72</v>
      </c>
      <c r="B61" s="4" t="s">
        <v>74</v>
      </c>
      <c r="C61" s="2">
        <v>3136</v>
      </c>
      <c r="D61" s="2">
        <v>3243</v>
      </c>
      <c r="E61" s="5">
        <v>6379</v>
      </c>
      <c r="F61" s="2">
        <v>375</v>
      </c>
      <c r="G61" s="2">
        <v>1656</v>
      </c>
      <c r="H61" s="2">
        <v>1941</v>
      </c>
      <c r="I61" s="2">
        <v>1028</v>
      </c>
      <c r="J61" s="2">
        <v>646</v>
      </c>
      <c r="K61" s="2">
        <v>733</v>
      </c>
      <c r="L61" s="2">
        <v>1226</v>
      </c>
      <c r="M61" s="30">
        <v>855</v>
      </c>
      <c r="N61" s="5">
        <f t="shared" si="0"/>
        <v>2081</v>
      </c>
      <c r="O61" s="2">
        <v>202</v>
      </c>
      <c r="P61" s="2">
        <v>504</v>
      </c>
      <c r="Q61" s="2">
        <v>561</v>
      </c>
      <c r="R61" s="2">
        <v>404</v>
      </c>
      <c r="S61" s="2">
        <v>234</v>
      </c>
      <c r="T61" s="2">
        <v>176</v>
      </c>
    </row>
    <row r="62" spans="1:20" ht="14.5" x14ac:dyDescent="0.3">
      <c r="A62" s="4" t="s">
        <v>76</v>
      </c>
      <c r="B62" s="4" t="s">
        <v>75</v>
      </c>
      <c r="C62" s="2">
        <v>858</v>
      </c>
      <c r="D62" s="2">
        <v>785</v>
      </c>
      <c r="E62" s="5">
        <v>1643</v>
      </c>
      <c r="F62" s="2">
        <v>474</v>
      </c>
      <c r="G62" s="2">
        <v>580</v>
      </c>
      <c r="H62" s="2">
        <v>211</v>
      </c>
      <c r="I62" s="2">
        <v>158</v>
      </c>
      <c r="J62" s="2">
        <v>121</v>
      </c>
      <c r="K62" s="2">
        <v>99</v>
      </c>
      <c r="L62" s="2">
        <v>805</v>
      </c>
      <c r="M62" s="30">
        <v>699</v>
      </c>
      <c r="N62" s="5">
        <f t="shared" si="0"/>
        <v>1504</v>
      </c>
      <c r="O62" s="2">
        <v>446</v>
      </c>
      <c r="P62" s="2">
        <v>548</v>
      </c>
      <c r="Q62" s="2">
        <v>189</v>
      </c>
      <c r="R62" s="2">
        <v>145</v>
      </c>
      <c r="S62" s="2">
        <v>111</v>
      </c>
      <c r="T62" s="2">
        <v>65</v>
      </c>
    </row>
    <row r="63" spans="1:20" ht="14.5" x14ac:dyDescent="0.3">
      <c r="A63" s="4" t="s">
        <v>76</v>
      </c>
      <c r="B63" s="4" t="s">
        <v>77</v>
      </c>
      <c r="C63" s="2">
        <v>3185</v>
      </c>
      <c r="D63" s="2">
        <v>2886</v>
      </c>
      <c r="E63" s="5">
        <v>6071</v>
      </c>
      <c r="F63" s="2">
        <v>1447</v>
      </c>
      <c r="G63" s="2">
        <v>1863</v>
      </c>
      <c r="H63" s="2">
        <v>1037</v>
      </c>
      <c r="I63" s="2">
        <v>667</v>
      </c>
      <c r="J63" s="2">
        <v>447</v>
      </c>
      <c r="K63" s="2">
        <v>610</v>
      </c>
      <c r="L63" s="2">
        <v>2510</v>
      </c>
      <c r="M63" s="30">
        <v>2227</v>
      </c>
      <c r="N63" s="5">
        <f t="shared" si="0"/>
        <v>4737</v>
      </c>
      <c r="O63" s="2">
        <v>1217</v>
      </c>
      <c r="P63" s="2">
        <v>1517</v>
      </c>
      <c r="Q63" s="2">
        <v>838</v>
      </c>
      <c r="R63" s="2">
        <v>536</v>
      </c>
      <c r="S63" s="2">
        <v>333</v>
      </c>
      <c r="T63" s="2">
        <v>296</v>
      </c>
    </row>
    <row r="64" spans="1:20" ht="14.5" x14ac:dyDescent="0.3">
      <c r="A64" s="4" t="s">
        <v>76</v>
      </c>
      <c r="B64" s="4" t="s">
        <v>78</v>
      </c>
      <c r="C64" s="2">
        <v>1573</v>
      </c>
      <c r="D64" s="2">
        <v>1520</v>
      </c>
      <c r="E64" s="5">
        <v>3093</v>
      </c>
      <c r="F64" s="2">
        <v>789</v>
      </c>
      <c r="G64" s="2">
        <v>1122</v>
      </c>
      <c r="H64" s="2">
        <v>466</v>
      </c>
      <c r="I64" s="2">
        <v>322</v>
      </c>
      <c r="J64" s="2">
        <v>221</v>
      </c>
      <c r="K64" s="2">
        <v>173</v>
      </c>
      <c r="L64" s="2">
        <v>1322</v>
      </c>
      <c r="M64" s="30">
        <v>1172</v>
      </c>
      <c r="N64" s="5">
        <f t="shared" si="0"/>
        <v>2494</v>
      </c>
      <c r="O64" s="2">
        <v>653</v>
      </c>
      <c r="P64" s="2">
        <v>935</v>
      </c>
      <c r="Q64" s="2">
        <v>374</v>
      </c>
      <c r="R64" s="2">
        <v>260</v>
      </c>
      <c r="S64" s="2">
        <v>180</v>
      </c>
      <c r="T64" s="2">
        <v>92</v>
      </c>
    </row>
    <row r="65" spans="1:20" ht="14.5" x14ac:dyDescent="0.3">
      <c r="A65" s="5" t="s">
        <v>76</v>
      </c>
      <c r="B65" s="4" t="s">
        <v>79</v>
      </c>
      <c r="C65" s="2">
        <v>917</v>
      </c>
      <c r="D65" s="2">
        <v>871</v>
      </c>
      <c r="E65" s="5">
        <v>1788</v>
      </c>
      <c r="F65" s="2">
        <v>406</v>
      </c>
      <c r="G65" s="2">
        <v>659</v>
      </c>
      <c r="H65" s="2">
        <v>280</v>
      </c>
      <c r="I65" s="2">
        <v>190</v>
      </c>
      <c r="J65" s="2">
        <v>133</v>
      </c>
      <c r="K65" s="2">
        <v>120</v>
      </c>
      <c r="L65" s="2">
        <v>806</v>
      </c>
      <c r="M65" s="30">
        <v>738</v>
      </c>
      <c r="N65" s="5">
        <f t="shared" si="0"/>
        <v>1544</v>
      </c>
      <c r="O65" s="2">
        <v>362</v>
      </c>
      <c r="P65" s="2">
        <v>594</v>
      </c>
      <c r="Q65" s="2">
        <v>251</v>
      </c>
      <c r="R65" s="2">
        <v>162</v>
      </c>
      <c r="S65" s="2">
        <v>110</v>
      </c>
      <c r="T65" s="2">
        <v>65</v>
      </c>
    </row>
    <row r="66" spans="1:20" ht="14.5" x14ac:dyDescent="0.3">
      <c r="A66" s="26" t="s">
        <v>92</v>
      </c>
      <c r="B66" s="27"/>
      <c r="C66" s="5">
        <f>SUM(C3:C65)</f>
        <v>383802</v>
      </c>
      <c r="D66" s="5">
        <f t="shared" ref="D66:N66" si="1">SUM(D3:D65)</f>
        <v>347965</v>
      </c>
      <c r="E66" s="5">
        <f t="shared" si="1"/>
        <v>731767</v>
      </c>
      <c r="F66" s="5">
        <f t="shared" ref="F66:K66" si="2">SUM(F3:F65)</f>
        <v>99021</v>
      </c>
      <c r="G66" s="5">
        <f t="shared" si="2"/>
        <v>235120</v>
      </c>
      <c r="H66" s="5">
        <f t="shared" si="2"/>
        <v>189511</v>
      </c>
      <c r="I66" s="5">
        <f t="shared" si="2"/>
        <v>95944</v>
      </c>
      <c r="J66" s="5">
        <f t="shared" si="2"/>
        <v>65530</v>
      </c>
      <c r="K66" s="5">
        <f t="shared" si="2"/>
        <v>46642</v>
      </c>
      <c r="L66" s="5">
        <f t="shared" si="1"/>
        <v>164109</v>
      </c>
      <c r="M66" s="5">
        <f>SUM(M3:M65)</f>
        <v>124360</v>
      </c>
      <c r="N66" s="5">
        <f t="shared" si="1"/>
        <v>288469</v>
      </c>
      <c r="O66" s="5">
        <f t="shared" ref="O66:T66" si="3">SUM(O3:O65)</f>
        <v>50991</v>
      </c>
      <c r="P66" s="5">
        <f t="shared" si="3"/>
        <v>88626</v>
      </c>
      <c r="Q66" s="5">
        <f t="shared" si="3"/>
        <v>69771</v>
      </c>
      <c r="R66" s="5">
        <f t="shared" si="3"/>
        <v>40605</v>
      </c>
      <c r="S66" s="5">
        <f t="shared" si="3"/>
        <v>25590</v>
      </c>
      <c r="T66" s="5">
        <f t="shared" si="3"/>
        <v>12886</v>
      </c>
    </row>
  </sheetData>
  <mergeCells count="7">
    <mergeCell ref="O1:T1"/>
    <mergeCell ref="A66:B66"/>
    <mergeCell ref="B1:B2"/>
    <mergeCell ref="A1:A2"/>
    <mergeCell ref="C1:E1"/>
    <mergeCell ref="L1:N1"/>
    <mergeCell ref="F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rightToLeft="1" workbookViewId="0">
      <selection activeCell="B8" sqref="B8"/>
    </sheetView>
  </sheetViews>
  <sheetFormatPr defaultRowHeight="13" x14ac:dyDescent="0.3"/>
  <cols>
    <col min="1" max="1" width="38.296875" customWidth="1"/>
    <col min="2" max="2" width="65" customWidth="1"/>
  </cols>
  <sheetData>
    <row r="1" spans="1:2" ht="15.5" x14ac:dyDescent="0.3">
      <c r="A1" s="7" t="s">
        <v>93</v>
      </c>
      <c r="B1" s="8" t="s">
        <v>94</v>
      </c>
    </row>
    <row r="2" spans="1:2" ht="15.5" x14ac:dyDescent="0.3">
      <c r="A2" s="9" t="s">
        <v>95</v>
      </c>
      <c r="B2" s="10" t="s">
        <v>118</v>
      </c>
    </row>
    <row r="3" spans="1:2" ht="15.5" x14ac:dyDescent="0.3">
      <c r="A3" s="11" t="s">
        <v>96</v>
      </c>
      <c r="B3" s="12" t="s">
        <v>97</v>
      </c>
    </row>
    <row r="4" spans="1:2" ht="15.5" x14ac:dyDescent="0.3">
      <c r="A4" s="9" t="s">
        <v>98</v>
      </c>
      <c r="B4" s="10" t="s">
        <v>119</v>
      </c>
    </row>
    <row r="5" spans="1:2" ht="15.5" x14ac:dyDescent="0.3">
      <c r="A5" s="11" t="s">
        <v>99</v>
      </c>
      <c r="B5" s="13">
        <v>45778</v>
      </c>
    </row>
    <row r="6" spans="1:2" ht="15.5" x14ac:dyDescent="0.3">
      <c r="A6" s="9" t="s">
        <v>100</v>
      </c>
      <c r="B6" s="14" t="s">
        <v>101</v>
      </c>
    </row>
    <row r="7" spans="1:2" ht="15.5" x14ac:dyDescent="0.3">
      <c r="A7" s="11" t="s">
        <v>102</v>
      </c>
      <c r="B7" s="15" t="s">
        <v>103</v>
      </c>
    </row>
    <row r="8" spans="1:2" ht="15.5" x14ac:dyDescent="0.3">
      <c r="A8" s="16" t="s">
        <v>104</v>
      </c>
      <c r="B8" s="17">
        <v>2022</v>
      </c>
    </row>
    <row r="9" spans="1:2" ht="15.5" x14ac:dyDescent="0.3">
      <c r="A9" s="11" t="s">
        <v>105</v>
      </c>
      <c r="B9" s="12" t="s">
        <v>97</v>
      </c>
    </row>
    <row r="10" spans="1:2" ht="15.5" x14ac:dyDescent="0.3">
      <c r="A10" s="9" t="s">
        <v>106</v>
      </c>
      <c r="B10" s="10" t="s">
        <v>107</v>
      </c>
    </row>
    <row r="11" spans="1:2" ht="15.5" x14ac:dyDescent="0.3">
      <c r="A11" s="18" t="s">
        <v>108</v>
      </c>
      <c r="B11" s="19" t="s">
        <v>109</v>
      </c>
    </row>
    <row r="12" spans="1:2" ht="15.5" x14ac:dyDescent="0.3">
      <c r="A12" s="18" t="s">
        <v>110</v>
      </c>
      <c r="B12" s="19"/>
    </row>
    <row r="13" spans="1:2" ht="15.5" x14ac:dyDescent="0.3">
      <c r="A13" s="20" t="s">
        <v>111</v>
      </c>
      <c r="B13" s="21">
        <v>24686000</v>
      </c>
    </row>
    <row r="14" spans="1:2" ht="15.5" x14ac:dyDescent="0.3">
      <c r="A14" s="18" t="s">
        <v>112</v>
      </c>
      <c r="B14" s="19" t="s">
        <v>113</v>
      </c>
    </row>
    <row r="15" spans="1:2" ht="15.5" x14ac:dyDescent="0.3">
      <c r="A15" s="20" t="s">
        <v>114</v>
      </c>
      <c r="B15" s="10" t="s">
        <v>115</v>
      </c>
    </row>
    <row r="16" spans="1:2" ht="15.5" x14ac:dyDescent="0.3">
      <c r="A16" s="22" t="s">
        <v>116</v>
      </c>
      <c r="B16" s="19" t="s">
        <v>117</v>
      </c>
    </row>
  </sheetData>
  <hyperlinks>
    <hyperlink ref="B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الثالثة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محمود بن عبدالله بن راشد الحديدي</dc:creator>
  <cp:lastModifiedBy>جمانه بنت عامر ين سليمان الحوسنية</cp:lastModifiedBy>
  <dcterms:created xsi:type="dcterms:W3CDTF">2024-09-25T07:04:59Z</dcterms:created>
  <dcterms:modified xsi:type="dcterms:W3CDTF">2025-11-24T05:40:41Z</dcterms:modified>
</cp:coreProperties>
</file>